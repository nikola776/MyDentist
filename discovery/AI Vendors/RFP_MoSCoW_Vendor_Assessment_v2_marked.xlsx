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Config" sheetId="2" r:id="rId5"/>
    <sheet state="visible" name="Assessment" sheetId="3" r:id="rId6"/>
    <sheet state="visible" name="Results" sheetId="4" r:id="rId7"/>
  </sheets>
  <definedNames/>
  <calcPr/>
  <extLst>
    <ext uri="GoogleSheetsCustomDataVersion2">
      <go:sheetsCustomData xmlns:go="http://customooxmlschemas.google.com/" r:id="rId8" roundtripDataChecksum="cDxUxXmlMpduWDZFoyHmtwvlfDPd21CuBWJpmrqpM3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3">
      <text>
        <t xml:space="preserve">======
ID#AAACHvCnX1k
Unknown Author    (2026-09-30 09:57:27)
Vendors scoring below this on any Must-have are gated out on the Results tab.</t>
      </text>
    </comment>
  </commentList>
  <extLst>
    <ext uri="GoogleSheetsCustomDataVersion2">
      <go:sheetsCustomData xmlns:go="http://customooxmlschemas.google.com/" r:id="rId1" roundtripDataSignature="AMtx7mg9CCEXpdWQiWX1qHqtSEkPRzNHD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9">
      <text>
        <t xml:space="preserve">======
ID#AAACHvCnX1g
Unknown Author    (2026-09-30 09:57:27)
[Threaded comment]
Your version of Excel allows you to read this threaded comment; however, any edits to it will get removed if the file is opened in a newer version of Excel. Learn more: https://go.microsoft.com/fwlink/?linkid=870924
Comment:
    assume again R4?</t>
      </text>
    </comment>
    <comment authorId="0" ref="C47">
      <text>
        <t xml:space="preserve">======
ID#AAACHvCnX1c
Unknown Author    (2026-09-30 09:57:27)
[Threaded comment]
Your version of Excel allows you to read this threaded comment; however, any edits to it will get removed if the file is opened in a newer version of Excel. Learn more: https://go.microsoft.com/fwlink/?linkid=870924
Comment:
    is this R4? Added R4 at the bottom incase something else was meant by this</t>
      </text>
    </comment>
  </commentList>
  <extLst>
    <ext uri="GoogleSheetsCustomDataVersion2">
      <go:sheetsCustomData xmlns:go="http://customooxmlschemas.google.com/" r:id="rId1" roundtripDataSignature="AMtx7mhut05UQIYN8xJNuYqFfB7c/nA68Q=="/>
    </ext>
  </extLst>
</comments>
</file>

<file path=xl/sharedStrings.xml><?xml version="1.0" encoding="utf-8"?>
<sst xmlns="http://schemas.openxmlformats.org/spreadsheetml/2006/main" count="482" uniqueCount="298">
  <si>
    <t>RFP Vendor Assessment</t>
  </si>
  <si>
    <t>Configuration</t>
  </si>
  <si>
    <t>MoSCoW-weighted scoring model</t>
  </si>
  <si>
    <t>Edit the yellow cells to retune the model. Everything else follows.</t>
  </si>
  <si>
    <t>Vendor Assessment</t>
  </si>
  <si>
    <t>MoSCoW weighting</t>
  </si>
  <si>
    <t>Results Dashboard</t>
  </si>
  <si>
    <t>How it works</t>
  </si>
  <si>
    <t>Yellow = you edit. Pick MoSCoW and score each vendor 0-5. Weight and weighted scores are automatic.</t>
  </si>
  <si>
    <t>MoSCoW level</t>
  </si>
  <si>
    <t>Ranked by weighted score. A Must-have gate failure overrides the ranking for shortlisting.</t>
  </si>
  <si>
    <t>Rank</t>
  </si>
  <si>
    <t>Weight</t>
  </si>
  <si>
    <t>Vendor</t>
  </si>
  <si>
    <t>Meaning</t>
  </si>
  <si>
    <t>Weighted score</t>
  </si>
  <si>
    <t>Must</t>
  </si>
  <si>
    <t>Max possible</t>
  </si>
  <si>
    <t>Score %</t>
  </si>
  <si>
    <t>1. Set your criteria</t>
  </si>
  <si>
    <t>Must gate</t>
  </si>
  <si>
    <t>Recommendation</t>
  </si>
  <si>
    <t>Enter vendor names &gt;&gt;</t>
  </si>
  <si>
    <t>Mandatory. Non-negotiable requirement; failing it should disqualify a vendor.</t>
  </si>
  <si>
    <t>On the 'Assessment' tab, list every requirement from your RFP. Group them with a Category if useful.</t>
  </si>
  <si>
    <t>Should</t>
  </si>
  <si>
    <t>High priority. Important but not vital; a workaround may exist.</t>
  </si>
  <si>
    <t>Could</t>
  </si>
  <si>
    <t>2. Assign MoSCoW</t>
  </si>
  <si>
    <t>For each requirement pick a priority from the dropdown: Must, Should, Could, or Won't. This drives the weight automatically.</t>
  </si>
  <si>
    <t>Desirable. Nice to have if it does not affect cost or timeline much.</t>
  </si>
  <si>
    <t>Vendor A</t>
  </si>
  <si>
    <t>3. Score each vendor</t>
  </si>
  <si>
    <t>Won't</t>
  </si>
  <si>
    <t>Rate every vendor 0-5 against each requirement using the dropdown. The rating scale is on the 'Config' tab.</t>
  </si>
  <si>
    <t>Out of scope for now. Recorded but scores nothing.</t>
  </si>
  <si>
    <t>4. Read the result</t>
  </si>
  <si>
    <t>The 'Results' tab ranks vendors by weighted score (%), and flags any vendor that fails a Must-have.</t>
  </si>
  <si>
    <t>Must-have pass threshold</t>
  </si>
  <si>
    <t>Minimum score (0-5) a vendor must reach on every Must-have requirement:</t>
  </si>
  <si>
    <t>The maths</t>
  </si>
  <si>
    <t>Each MoSCoW level maps to a weight (Config tab, editable). Default: Must=5, Should=3, Could=1, Won't=0.</t>
  </si>
  <si>
    <t>For each requirement: Weight x Vendor score (0-5). Shown per vendor on the Assessment tab.</t>
  </si>
  <si>
    <t>Total &amp; %</t>
  </si>
  <si>
    <t>Vendor B</t>
  </si>
  <si>
    <t>A vendor's total is the sum of its weighted scores. The % is total / maximum possible (every weight scored 5).</t>
  </si>
  <si>
    <t>Must-have gate</t>
  </si>
  <si>
    <t>Any Must scored below the pass threshold (Config, default 3) fails the vendor regardless of overall %. This is the RFP shortlist gate.</t>
  </si>
  <si>
    <t>Rating scale (how well a vendor meets a requirement)</t>
  </si>
  <si>
    <t>Score</t>
  </si>
  <si>
    <t>Colour key</t>
  </si>
  <si>
    <t>Label</t>
  </si>
  <si>
    <t>Guidance</t>
  </si>
  <si>
    <t>Vendor C</t>
  </si>
  <si>
    <t>Yellow cells</t>
  </si>
  <si>
    <t>You edit these (criteria text, MoSCoW level, vendor scores, vendor names).</t>
  </si>
  <si>
    <t>White/grey cells</t>
  </si>
  <si>
    <t>Calculated for you. Leave them alone.</t>
  </si>
  <si>
    <t>Config tab</t>
  </si>
  <si>
    <t>Excellent</t>
  </si>
  <si>
    <t>Vendor D</t>
  </si>
  <si>
    <t>Change the MoSCoW weights, rating-scale labels, or the Must-have pass threshold here. Everything recalculates.</t>
  </si>
  <si>
    <t>Fully meets and exceeds the requirement; best in class.</t>
  </si>
  <si>
    <t>Good</t>
  </si>
  <si>
    <t>Fully meets the requirement out of the box.</t>
  </si>
  <si>
    <t>Adequate</t>
  </si>
  <si>
    <t>Meets the requirement with minor gaps or config.</t>
  </si>
  <si>
    <t>Partial</t>
  </si>
  <si>
    <t>VegaIT layer</t>
  </si>
  <si>
    <t>Partially meets; notable gaps or customisation needed.</t>
  </si>
  <si>
    <t>Poor</t>
  </si>
  <si>
    <t>Barely addresses the requirement; heavy workaround.</t>
  </si>
  <si>
    <t>Not met</t>
  </si>
  <si>
    <t>Does not meet the requirement at all.</t>
  </si>
  <si>
    <t>Why this is marked</t>
  </si>
  <si>
    <t>ID</t>
  </si>
  <si>
    <t>Category</t>
  </si>
  <si>
    <t>Requirement</t>
  </si>
  <si>
    <t>MoSCoW</t>
  </si>
  <si>
    <t>Weighted</t>
  </si>
  <si>
    <t>TEL-01</t>
  </si>
  <si>
    <t>Telephony &amp; call routing</t>
  </si>
  <si>
    <t>Integrates with the existing phone systems (multiple Mitel products supported by Maintel)</t>
  </si>
  <si>
    <t>TEL-02</t>
  </si>
  <si>
    <t>Can operate as the primary phone answering system, or pick up calls on configurable thresholds (e.g. rings, queue time, out of hours)</t>
  </si>
  <si>
    <t>Notes</t>
  </si>
  <si>
    <t>Score % = total weighted score / maximum possible (all scored requirements at 5). It ignores unscored rows so partial assessments still compare fairly.</t>
  </si>
  <si>
    <t>Must gate = FAIL if the vendor scores below the Config pass threshold on any requirement marked 'Must'. A failing vendor is excluded regardless of %.</t>
  </si>
  <si>
    <t>To add a 5th+ vendor, insert paired Score/Weighted columns on the Assessment tab and extend the totals; or reuse the sheet per lot/package.</t>
  </si>
  <si>
    <t>TEL-03</t>
  </si>
  <si>
    <t>Queue management and routing for calls not handled by the AI</t>
  </si>
  <si>
    <t>TEL-04</t>
  </si>
  <si>
    <t>Outbound calls and cold calling capability</t>
  </si>
  <si>
    <t>TEL-05</t>
  </si>
  <si>
    <t>Handles peak concurrent call volumes across all practices and support centres without degradation; vendor states capacity limits</t>
  </si>
  <si>
    <t>TEL-06</t>
  </si>
  <si>
    <t>Central administration of per-practice configuration (numbers, opening hours, services, journeys) without per-site vendor work</t>
  </si>
  <si>
    <t>TEL-07</t>
  </si>
  <si>
    <t>Out-of-hours and overflow handling with configurable schedules per practice</t>
  </si>
  <si>
    <t>TEL-08</t>
  </si>
  <si>
    <t>Call recording with configurable retention, retrievable per call</t>
  </si>
  <si>
    <t>Gate</t>
  </si>
  <si>
    <t>Recording either exists with retrievable retention or it does not, and its absence blocks the consent and audit design.</t>
  </si>
  <si>
    <t>TEL-09</t>
  </si>
  <si>
    <t>Keypad (DTMF) fallback for callers who cannot or will not speak to the AI</t>
  </si>
  <si>
    <t>CNV-01</t>
  </si>
  <si>
    <t>Conversation &amp; voice experience</t>
  </si>
  <si>
    <t>Low latency so the conversation feels as natural as possible</t>
  </si>
  <si>
    <t>CNV-02</t>
  </si>
  <si>
    <t>Conversational responsiveness: adjusts speed and tone of voice to match the caller</t>
  </si>
  <si>
    <t>CNV-03</t>
  </si>
  <si>
    <t>Multi-language support (Welsh and English)</t>
  </si>
  <si>
    <t>CNV-04</t>
  </si>
  <si>
    <t>Multi-language support (other languages)</t>
  </si>
  <si>
    <t>CNV-05</t>
  </si>
  <si>
    <t>Ability to change voice (male / female)</t>
  </si>
  <si>
    <t>CNV-06</t>
  </si>
  <si>
    <t>Multiple regional accents</t>
  </si>
  <si>
    <t>CNV-07</t>
  </si>
  <si>
    <t>Ability to change the accent based on the CLI or ID verification</t>
  </si>
  <si>
    <t>CNV-08</t>
  </si>
  <si>
    <t>Discloses to the caller at the start of the call that they are speaking to an AI, and how to reach a person</t>
  </si>
  <si>
    <t>Either the agent discloses that it is AI or it does not. A partial disclosure has no meaning.</t>
  </si>
  <si>
    <t>CNV-09</t>
  </si>
  <si>
    <t>Handles interruptions (barge-in), pauses and background noise without losing the thread</t>
  </si>
  <si>
    <t>CNV-10</t>
  </si>
  <si>
    <t>Recognises when it has not understood and re-prompts or hands off rather than guessing</t>
  </si>
  <si>
    <t>IDV-01</t>
  </si>
  <si>
    <t>Caller identification &amp; verification</t>
  </si>
  <si>
    <t>ID verification: takes call data that identifies the individual and matches it to our patient record</t>
  </si>
  <si>
    <t>Out of scope</t>
  </si>
  <si>
    <t>Matching a caller to the patient record happens in our identity resolution service against the CDP, not in the voice runtime.</t>
  </si>
  <si>
    <t>IDV-02</t>
  </si>
  <si>
    <t>Records CLI and uses it as a seed for ID verification</t>
  </si>
  <si>
    <t>IDV-03</t>
  </si>
  <si>
    <t>Integrates with our ID verification pathway</t>
  </si>
  <si>
    <t>Our ID verification pathway is orchestration layer logic, so every vendor would score identically.</t>
  </si>
  <si>
    <t>IDV-04</t>
  </si>
  <si>
    <t>Identifies and distinguishes between patients and other services that interact with practices or our support centres (e.g. clinicians, labs)</t>
  </si>
  <si>
    <t>Split</t>
  </si>
  <si>
    <t>Conversational classification of caller type is a vendor capability, but matching to records is ours. Split before scoring.</t>
  </si>
  <si>
    <t>IDV-05</t>
  </si>
  <si>
    <t>Asks the caller whether they have any specific requirements and records the answer to other systems</t>
  </si>
  <si>
    <t>IDV-06</t>
  </si>
  <si>
    <t>Handles third-party callers (parent/guardian, carer, someone calling on behalf of a patient) with appropriate authority checks</t>
  </si>
  <si>
    <t>Handling a third party caller conversationally is vendor work, but the authority check against the record is ours.</t>
  </si>
  <si>
    <t>IDV-07</t>
  </si>
  <si>
    <t>Verification strength is configurable by transaction type (e.g. booking vs. discussing appointment detail vs. payment)</t>
  </si>
  <si>
    <t>JRN-01</t>
  </si>
  <si>
    <t>Journey design &amp; workflow orchestration</t>
  </si>
  <si>
    <t>Configurable and responsive customer journey through the call interaction</t>
  </si>
  <si>
    <t>JRN-02</t>
  </si>
  <si>
    <t>Ability to have multiple workflows</t>
  </si>
  <si>
    <t>JRN-03</t>
  </si>
  <si>
    <t>Ability to interact with and drive workflow in other tools</t>
  </si>
  <si>
    <t>JRN-04</t>
  </si>
  <si>
    <t>Intent recognition covering core dental use cases: book, amend, cancel, emergency, treatment/price enquiry, payment, complaint, general enquiry</t>
  </si>
  <si>
    <t>JRN-05</t>
  </si>
  <si>
    <t>Journeys, prompts and knowledge editable by trained mydentist staff without vendor change requests (low-code / no-code)</t>
  </si>
  <si>
    <t>JRN-06</t>
  </si>
  <si>
    <t>Test environment and version control for journey changes before release to live</t>
  </si>
  <si>
    <t>HND-01</t>
  </si>
  <si>
    <t>Human hand-off &amp; escalation</t>
  </si>
  <si>
    <t>Patients have a clear 'off ramp' to speak directly to a human</t>
  </si>
  <si>
    <t>A caller either has a route to a human or they do not.</t>
  </si>
  <si>
    <t>HND-02</t>
  </si>
  <si>
    <t>Hands over to a human based on specific criteria or when it is not able to help</t>
  </si>
  <si>
    <t>HND-03</t>
  </si>
  <si>
    <t>Hands over to a human based on semantic analysis and view of emotive level</t>
  </si>
  <si>
    <t>HND-04</t>
  </si>
  <si>
    <t>Recognises dental emergencies and safeguarding concerns and routes them via a defined pathway, not a generic queue</t>
  </si>
  <si>
    <t>HND-05</t>
  </si>
  <si>
    <t>Warm transfer passes the transcript summary and verified identity to the human agent so the caller does not repeat themselves</t>
  </si>
  <si>
    <t>HND-06</t>
  </si>
  <si>
    <t>Offers a callback when no human is available and logs the request for follow-up</t>
  </si>
  <si>
    <t>INT-01</t>
  </si>
  <si>
    <t>Systems integration</t>
  </si>
  <si>
    <t>HubSpot integration (CRM)</t>
  </si>
  <si>
    <t>INT-02</t>
  </si>
  <si>
    <t>Integrates with Orthobridge</t>
  </si>
  <si>
    <t>INT-03</t>
  </si>
  <si>
    <t>Integrates with Dentally</t>
  </si>
  <si>
    <t>INT-04</t>
  </si>
  <si>
    <t>Integrates with our booking capability</t>
  </si>
  <si>
    <t>Out of Scope</t>
  </si>
  <si>
    <t>Booking integration is ours to build for whichever vendor wins, so it cannot separate one vendor from another.</t>
  </si>
  <si>
    <t>INT-05</t>
  </si>
  <si>
    <t>Integrates with Tabeo</t>
  </si>
  <si>
    <t>INT-06</t>
  </si>
  <si>
    <t>Integrates with the practice management system (patient record, appointments)</t>
  </si>
  <si>
    <t>The practice management integration is the core of our deterministic transaction plane, built once for any vendor.</t>
  </si>
  <si>
    <t>INT-07</t>
  </si>
  <si>
    <t>Documented open APIs / webhooks for integrations not listed here</t>
  </si>
  <si>
    <t>INT-08</t>
  </si>
  <si>
    <t>Single sign-on via Microsoft Entra ID for staff and admin access</t>
  </si>
  <si>
    <t>PAY-01</t>
  </si>
  <si>
    <t>Payments</t>
  </si>
  <si>
    <t>We currently take payments over the phone using Securio; must integrate with this payment system or other options and be open to changes if we switch providers</t>
  </si>
  <si>
    <t>PCI DSS certification is held or it is not held.</t>
  </si>
  <si>
    <t>PAY-02</t>
  </si>
  <si>
    <t>PCI DSS compliance</t>
  </si>
  <si>
    <t>PAY-03</t>
  </si>
  <si>
    <t>Card data never enters the AI transcript or recording (DTMF masking or pause-and-resume)</t>
  </si>
  <si>
    <t>Card data either stays out of the transcript or it does not, and a partial result is a breach.</t>
  </si>
  <si>
    <t>OMN-01</t>
  </si>
  <si>
    <t>Omnichannel</t>
  </si>
  <si>
    <t>Ability to shift to other communication platforms e.g. chat or WhatsApp</t>
  </si>
  <si>
    <t>OMN-02</t>
  </si>
  <si>
    <t>Sends SMS / email confirmation of bookings and actions taken on the call</t>
  </si>
  <si>
    <t>SAF-01</t>
  </si>
  <si>
    <t>Safety, guardrails &amp; accuracy</t>
  </si>
  <si>
    <t>Guard rails</t>
  </si>
  <si>
    <t>SAF-02</t>
  </si>
  <si>
    <t>Data / information accuracy</t>
  </si>
  <si>
    <t>SAF-03</t>
  </si>
  <si>
    <t>Answers are grounded in a controlled mydentist knowledge base (practice details, prices, policies); no fabricated facts</t>
  </si>
  <si>
    <t>SAF-04</t>
  </si>
  <si>
    <t>Gives no clinical advice beyond an approved script; clinical questions are routed to a human</t>
  </si>
  <si>
    <t>Giving clinical advice is a safety failure, not a scoring band.</t>
  </si>
  <si>
    <t>SAF-05</t>
  </si>
  <si>
    <t>Resistant to prompt injection and caller attempts to alter its behaviour</t>
  </si>
  <si>
    <t>SEC-01</t>
  </si>
  <si>
    <t>Compliance, security &amp; data protection</t>
  </si>
  <si>
    <t>Clinical safety: vendor holds a DCB0129 compliant clinical safety case and supports our DCB0160 case</t>
  </si>
  <si>
    <t>SEC-02</t>
  </si>
  <si>
    <t>DTAC (Digital Technology Assessment Criteria) compliant</t>
  </si>
  <si>
    <t>SEC-03</t>
  </si>
  <si>
    <t>Meets all UK accessibility requirements</t>
  </si>
  <si>
    <t>Accessibility conformance is claimed and evidenced, or it is not.</t>
  </si>
  <si>
    <t>SEC-04</t>
  </si>
  <si>
    <t>UK GDPR compliant with signed DPA and DSPT met</t>
  </si>
  <si>
    <t>A signed DPA and DSPT status are binary contractual facts.</t>
  </si>
  <si>
    <t>SEC-05</t>
  </si>
  <si>
    <t>Data hosted and processed (including AI model inference) in the UK/EEA; all sub-processors disclosed</t>
  </si>
  <si>
    <t>Processing region is either UK or EEA or it is not, model inference included.</t>
  </si>
  <si>
    <t>SEC-06</t>
  </si>
  <si>
    <t>Our call data and transcripts are not used to train vendor or third-party models</t>
  </si>
  <si>
    <t>Either our call data and transcripts train their models or they do not.</t>
  </si>
  <si>
    <t>SEC-07</t>
  </si>
  <si>
    <t>Encryption at rest and in transit; role-based access; full audit trail</t>
  </si>
  <si>
    <t>Encryption, role based access and an audit trail are baseline controls rather than differentiators.</t>
  </si>
  <si>
    <t>SEC-08</t>
  </si>
  <si>
    <t>Configurable retention and deletion of recordings and transcripts</t>
  </si>
  <si>
    <t>Retention and deletion controls either exist or the data cannot be governed.</t>
  </si>
  <si>
    <t>SEC-09</t>
  </si>
  <si>
    <t>Supports our DPIA with documentation of models used, data flows and AI-specific risks</t>
  </si>
  <si>
    <t>SEC-10</t>
  </si>
  <si>
    <t>Cyber Essentials Plus and/or ISO 27001 certified</t>
  </si>
  <si>
    <t>REC-01</t>
  </si>
  <si>
    <t>Transcripts, records &amp; data capture</t>
  </si>
  <si>
    <t>Transcript of the call</t>
  </si>
  <si>
    <t>A transcript is produced or it is not, and without one the audit trail fails.</t>
  </si>
  <si>
    <t>REC-02</t>
  </si>
  <si>
    <t>Transcript of the call in the original language and English translation</t>
  </si>
  <si>
    <t>REC-03</t>
  </si>
  <si>
    <t>Structured call summary (intent, outcome, actions) written back to the PMS / CRM record</t>
  </si>
  <si>
    <t>Writing a structured summary to the PMS or CRM is an orchestration layer write, not a vendor capability.</t>
  </si>
  <si>
    <t>REC-04</t>
  </si>
  <si>
    <t>Call recording notification and consent handled to UK requirements</t>
  </si>
  <si>
    <t>RPT-01</t>
  </si>
  <si>
    <t>Reporting, monitoring &amp; analytics</t>
  </si>
  <si>
    <t>Performance monitoring</t>
  </si>
  <si>
    <t>RPT-02</t>
  </si>
  <si>
    <t>Dashboards of performance</t>
  </si>
  <si>
    <t>RPT-03</t>
  </si>
  <si>
    <t>Standard KPIs: containment rate, hand-off rate, abandonment, booking conversion, average handling time</t>
  </si>
  <si>
    <t>RPT-04</t>
  </si>
  <si>
    <t>QA review tools: sample and score calls, flag failures, feed improvements back into journeys</t>
  </si>
  <si>
    <t>RPT-05</t>
  </si>
  <si>
    <t>Real-time alerting on outages, latency and failure spikes</t>
  </si>
  <si>
    <t>RPT-06</t>
  </si>
  <si>
    <t>Data export / API into our own BI (e.g. Power BI)</t>
  </si>
  <si>
    <t>SVC-01</t>
  </si>
  <si>
    <t>Service, commercial &amp; vendor</t>
  </si>
  <si>
    <t>Uptime SLA of 99.9% or better with service credits; UK support hours and response times stated</t>
  </si>
  <si>
    <t>SVC-02</t>
  </si>
  <si>
    <t>Transparent pricing (per call, minute or practice) with no hidden fees and a forecastable cost model</t>
  </si>
  <si>
    <t>SVC-03</t>
  </si>
  <si>
    <t>Phased pilot across a small set of practices before group-wide rollout</t>
  </si>
  <si>
    <t>SVC-04</t>
  </si>
  <si>
    <t>Exit: export of all data in open formats at contract end; no lock-in</t>
  </si>
  <si>
    <t>Data export in open formats at contract end is a contractual yes or no.</t>
  </si>
  <si>
    <t>SVC-05</t>
  </si>
  <si>
    <t>Notifies and allows testing before underlying AI model changes are applied to our service</t>
  </si>
  <si>
    <t>SVC-06</t>
  </si>
  <si>
    <t>Reference customers in UK healthcare or dental</t>
  </si>
  <si>
    <t xml:space="preserve">Systems Integration </t>
  </si>
  <si>
    <t>Integrates with R4 (APIS wil be provided)</t>
  </si>
  <si>
    <t>Scores an R4 API that does not yet exist, and the integration is ours to build regardless. Also a duplicate of the SVC-06 ID.</t>
  </si>
  <si>
    <t>NHS-01</t>
  </si>
  <si>
    <t>NHS certifications, assessments &amp; contracts</t>
  </si>
  <si>
    <t>List current and previous contracts with NHS organisations (trusts, ICBs, GP practices, NHS dental providers) and other UK healthcare providers: scope, dates, scale, procurement route (e.g. G-Cloud, CCS, NHS SBS, HSSF) and whether referenceable</t>
  </si>
  <si>
    <t>NHS-02</t>
  </si>
  <si>
    <t>State MHRA registration status of any product (registration number, class, intended purpose as registered) and UKCA/CE marking held, or confirm none and the rationale</t>
  </si>
  <si>
    <t>TOTAL WEIGHTED SCORE</t>
  </si>
  <si>
    <t>Maximum possible score</t>
  </si>
  <si>
    <t>WEIGHTED SCORE  %</t>
  </si>
  <si>
    <t>MUST-HAVE GATE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</si>
</sst>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6">
    <font>
      <sz val="11.0"/>
      <color theme="1"/>
      <name val="Calibri"/>
      <scheme val="minor"/>
    </font>
    <font>
      <b/>
      <sz val="20.0"/>
      <color rgb="FF404846"/>
      <name val="Quattrocento Sans"/>
    </font>
    <font>
      <b/>
      <sz val="18.0"/>
      <color rgb="FF404846"/>
      <name val="Quattrocento Sans"/>
    </font>
    <font>
      <sz val="12.0"/>
      <color rgb="FFBA4E97"/>
      <name val="Quattrocento Sans"/>
    </font>
    <font>
      <sz val="10.0"/>
      <color rgb="FF869492"/>
      <name val="Quattrocento Sans"/>
    </font>
    <font>
      <b/>
      <sz val="12.0"/>
      <color rgb="FFBA4E97"/>
      <name val="Quattrocento Sans"/>
    </font>
    <font>
      <b/>
      <sz val="13.0"/>
      <color rgb="FF66C1BF"/>
      <name val="Quattrocento Sans"/>
    </font>
    <font>
      <b/>
      <sz val="10.0"/>
      <color rgb="FFFFFFFF"/>
      <name val="Quattrocento Sans"/>
    </font>
    <font>
      <sz val="11.0"/>
      <color theme="1"/>
      <name val="Calibri"/>
    </font>
    <font>
      <b/>
      <sz val="10.0"/>
      <color rgb="FF404846"/>
      <name val="Quattrocento Sans"/>
    </font>
    <font>
      <sz val="9.0"/>
      <color rgb="FF869492"/>
      <name val="Quattrocento Sans"/>
    </font>
    <font>
      <sz val="10.0"/>
      <color rgb="FF0000FF"/>
      <name val="Quattrocento Sans"/>
    </font>
    <font>
      <sz val="9.0"/>
      <color rgb="FF404846"/>
      <name val="Quattrocento Sans"/>
    </font>
    <font>
      <b/>
      <sz val="9.0"/>
      <color rgb="FF404846"/>
      <name val="Quattrocento Sans"/>
    </font>
    <font>
      <sz val="10.0"/>
      <color rgb="FF404846"/>
      <name val="Quattrocento Sans"/>
    </font>
    <font>
      <b/>
      <sz val="11.0"/>
      <color rgb="FF0000FF"/>
      <name val="Quattrocento Sans"/>
    </font>
    <font/>
    <font>
      <b/>
      <sz val="12.0"/>
      <color rgb="FF0000FF"/>
      <name val="Quattrocento Sans"/>
    </font>
    <font>
      <b/>
      <sz val="11.0"/>
      <color rgb="FF404846"/>
      <name val="Quattrocento Sans"/>
    </font>
    <font>
      <b/>
      <color rgb="FFFFFFFF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9.0"/>
      <color rgb="FF0000FF"/>
      <name val="Quattrocento Sans"/>
    </font>
    <font>
      <b/>
      <sz val="12.0"/>
      <color rgb="FF66C1BF"/>
      <name val="Quattrocento Sans"/>
    </font>
    <font>
      <b/>
      <sz val="12.0"/>
      <color rgb="FF404846"/>
      <name val="Quattrocento Sans"/>
    </font>
    <font>
      <b/>
      <sz val="13.0"/>
      <color rgb="FFBA4E97"/>
      <name val="Quattrocento Sans"/>
    </font>
  </fonts>
  <fills count="13">
    <fill>
      <patternFill patternType="none"/>
    </fill>
    <fill>
      <patternFill patternType="lightGray"/>
    </fill>
    <fill>
      <patternFill patternType="solid">
        <fgColor rgb="FFF2F5F5"/>
        <bgColor rgb="FFF2F5F5"/>
      </patternFill>
    </fill>
    <fill>
      <patternFill patternType="solid">
        <fgColor rgb="FF404846"/>
        <bgColor rgb="FF404846"/>
      </patternFill>
    </fill>
    <fill>
      <patternFill patternType="solid">
        <fgColor rgb="FFFFF7CC"/>
        <bgColor rgb="FFFFF7CC"/>
      </patternFill>
    </fill>
    <fill>
      <patternFill patternType="solid">
        <fgColor rgb="FFFFFFFF"/>
        <bgColor rgb="FFFFFFFF"/>
      </patternFill>
    </fill>
    <fill>
      <patternFill patternType="solid">
        <fgColor rgb="FFBA4E97"/>
        <bgColor rgb="FFBA4E97"/>
      </patternFill>
    </fill>
    <fill>
      <patternFill patternType="solid">
        <fgColor rgb="FF66C1BF"/>
        <bgColor rgb="FF66C1B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869492"/>
        <bgColor rgb="FF869492"/>
      </patternFill>
    </fill>
  </fills>
  <borders count="9">
    <border/>
    <border>
      <left/>
      <right/>
      <top/>
      <bottom/>
    </border>
    <border>
      <left style="thin">
        <color rgb="FFD0D6D5"/>
      </left>
      <right style="thin">
        <color rgb="FFD0D6D5"/>
      </right>
      <top style="thin">
        <color rgb="FFD0D6D5"/>
      </top>
      <bottom style="thin">
        <color rgb="FFD0D6D5"/>
      </bottom>
    </border>
    <border>
      <left style="thin">
        <color rgb="FFD0D6D5"/>
      </left>
      <top style="thin">
        <color rgb="FFD0D6D5"/>
      </top>
      <bottom style="thin">
        <color rgb="FFD0D6D5"/>
      </bottom>
    </border>
    <border>
      <right style="thin">
        <color rgb="FFD0D6D5"/>
      </right>
      <top style="thin">
        <color rgb="FFD0D6D5"/>
      </top>
      <bottom style="thin">
        <color rgb="FFD0D6D5"/>
      </bottom>
    </border>
    <border>
      <right style="thin">
        <color rgb="FFFFFFFF"/>
      </right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Border="1" applyFill="1" applyFont="1"/>
    <xf borderId="2" fillId="3" fontId="7" numFmtId="0" xfId="0" applyAlignment="1" applyBorder="1" applyFill="1" applyFont="1">
      <alignment horizontal="center" shrinkToFit="0" vertical="center" wrapText="1"/>
    </xf>
    <xf borderId="1" fillId="2" fontId="8" numFmtId="0" xfId="0" applyBorder="1" applyFill="1" applyFont="1"/>
    <xf borderId="2" fillId="0" fontId="9" numFmtId="0" xfId="0" applyBorder="1" applyFont="1"/>
    <xf borderId="0" fillId="0" fontId="10" numFmtId="0" xfId="0" applyFont="1"/>
    <xf borderId="2" fillId="4" fontId="1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shrinkToFit="0" vertical="top" wrapText="1"/>
    </xf>
    <xf borderId="2" fillId="0" fontId="12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right" vertical="center"/>
    </xf>
    <xf borderId="0" fillId="0" fontId="14" numFmtId="0" xfId="0" applyAlignment="1" applyFont="1">
      <alignment horizontal="left" shrinkToFit="0" vertical="top" wrapText="1"/>
    </xf>
    <xf borderId="3" fillId="4" fontId="15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  <xf borderId="4" fillId="0" fontId="16" numFmtId="0" xfId="0" applyBorder="1" applyFont="1"/>
    <xf borderId="2" fillId="4" fontId="17" numFmtId="0" xfId="0" applyAlignment="1" applyBorder="1" applyFill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14" numFmtId="0" xfId="0" applyBorder="1" applyFont="1"/>
    <xf borderId="2" fillId="5" fontId="18" numFmtId="0" xfId="0" applyAlignment="1" applyBorder="1" applyFill="1" applyFont="1">
      <alignment horizontal="center" shrinkToFit="0" vertical="center" wrapText="1"/>
    </xf>
    <xf borderId="5" fillId="3" fontId="19" numFmtId="0" xfId="0" applyAlignment="1" applyBorder="1" applyFill="1" applyFont="1">
      <alignment readingOrder="0"/>
    </xf>
    <xf borderId="0" fillId="3" fontId="19" numFmtId="0" xfId="0" applyAlignment="1" applyFill="1" applyFont="1">
      <alignment readingOrder="0"/>
    </xf>
    <xf borderId="0" fillId="3" fontId="20" numFmtId="0" xfId="0" applyFill="1" applyFont="1"/>
    <xf borderId="0" fillId="0" fontId="20" numFmtId="0" xfId="0" applyFont="1"/>
    <xf borderId="2" fillId="5" fontId="9" numFmtId="0" xfId="0" applyAlignment="1" applyBorder="1" applyFill="1" applyFont="1">
      <alignment horizontal="left" shrinkToFit="0" vertical="center" wrapText="1"/>
    </xf>
    <xf borderId="2" fillId="6" fontId="7" numFmtId="0" xfId="0" applyAlignment="1" applyBorder="1" applyFill="1" applyFont="1">
      <alignment horizontal="center" shrinkToFit="0" vertical="center" wrapText="1"/>
    </xf>
    <xf borderId="2" fillId="5" fontId="14" numFmtId="0" xfId="0" applyAlignment="1" applyBorder="1" applyFill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2" fillId="5" fontId="5" numFmtId="164" xfId="0" applyAlignment="1" applyBorder="1" applyFill="1" applyFont="1" applyNumberFormat="1">
      <alignment horizontal="center" shrinkToFit="0" vertical="center" wrapText="1"/>
    </xf>
    <xf borderId="3" fillId="7" fontId="7" numFmtId="0" xfId="0" applyAlignment="1" applyBorder="1" applyFill="1" applyFont="1">
      <alignment horizontal="center" shrinkToFit="0" vertical="center" wrapText="1"/>
    </xf>
    <xf borderId="5" fillId="3" fontId="21" numFmtId="0" xfId="0" applyBorder="1" applyFill="1" applyFont="1"/>
    <xf borderId="2" fillId="5" fontId="9" numFmtId="0" xfId="0" applyAlignment="1" applyBorder="1" applyFill="1" applyFont="1">
      <alignment horizontal="center" shrinkToFit="0" vertical="center" wrapText="1"/>
    </xf>
    <xf borderId="0" fillId="3" fontId="21" numFmtId="0" xfId="0" applyFill="1" applyFont="1"/>
    <xf borderId="2" fillId="4" fontId="12" numFmtId="0" xfId="0" applyAlignment="1" applyBorder="1" applyFill="1" applyFont="1">
      <alignment horizontal="center" shrinkToFit="0" vertical="center" wrapText="1"/>
    </xf>
    <xf borderId="2" fillId="4" fontId="22" numFmtId="0" xfId="0" applyAlignment="1" applyBorder="1" applyFill="1" applyFont="1">
      <alignment horizontal="left" shrinkToFit="0" vertical="center" wrapText="1"/>
    </xf>
    <xf borderId="2" fillId="4" fontId="22" numFmtId="0" xfId="0" applyAlignment="1" applyBorder="1" applyFill="1" applyFont="1">
      <alignment horizontal="center" shrinkToFit="0" vertical="center" wrapText="1"/>
    </xf>
    <xf borderId="2" fillId="2" fontId="18" numFmtId="0" xfId="0" applyAlignment="1" applyBorder="1" applyFill="1" applyFont="1">
      <alignment horizontal="center" shrinkToFit="0" vertical="center" wrapText="1"/>
    </xf>
    <xf borderId="2" fillId="2" fontId="9" numFmtId="0" xfId="0" applyAlignment="1" applyBorder="1" applyFill="1" applyFont="1">
      <alignment horizontal="left" shrinkToFit="0" vertical="center" wrapText="1"/>
    </xf>
    <xf borderId="2" fillId="2" fontId="14" numFmtId="0" xfId="0" applyAlignment="1" applyBorder="1" applyFill="1" applyFont="1">
      <alignment horizontal="center" shrinkToFit="0" vertical="center" wrapText="1"/>
    </xf>
    <xf borderId="2" fillId="5" fontId="12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2" fillId="2" fontId="5" numFmtId="164" xfId="0" applyAlignment="1" applyBorder="1" applyFill="1" applyFont="1" applyNumberFormat="1">
      <alignment horizontal="center" shrinkToFit="0" vertical="center" wrapText="1"/>
    </xf>
    <xf borderId="2" fillId="2" fontId="9" numFmtId="0" xfId="0" applyAlignment="1" applyBorder="1" applyFill="1" applyFont="1">
      <alignment horizontal="center" shrinkToFit="0" vertical="center" wrapText="1"/>
    </xf>
    <xf borderId="0" fillId="0" fontId="23" numFmtId="0" xfId="0" applyFont="1"/>
    <xf borderId="2" fillId="2" fontId="12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2" fillId="8" fontId="12" numFmtId="0" xfId="0" applyAlignment="1" applyBorder="1" applyFill="1" applyFont="1">
      <alignment horizontal="center" shrinkToFit="0" vertical="center" wrapText="1"/>
    </xf>
    <xf borderId="2" fillId="8" fontId="22" numFmtId="0" xfId="0" applyAlignment="1" applyBorder="1" applyFill="1" applyFont="1">
      <alignment horizontal="left" shrinkToFit="0" vertical="center" wrapText="1"/>
    </xf>
    <xf borderId="0" fillId="0" fontId="21" numFmtId="0" xfId="0" applyAlignment="1" applyFont="1">
      <alignment horizontal="left" readingOrder="0"/>
    </xf>
    <xf borderId="0" fillId="0" fontId="21" numFmtId="0" xfId="0" applyAlignment="1" applyFont="1">
      <alignment readingOrder="0"/>
    </xf>
    <xf borderId="2" fillId="9" fontId="12" numFmtId="0" xfId="0" applyAlignment="1" applyBorder="1" applyFill="1" applyFont="1">
      <alignment horizontal="center" shrinkToFit="0" vertical="center" wrapText="1"/>
    </xf>
    <xf borderId="2" fillId="9" fontId="22" numFmtId="0" xfId="0" applyAlignment="1" applyBorder="1" applyFill="1" applyFont="1">
      <alignment horizontal="left" shrinkToFit="0" vertical="center" wrapText="1"/>
    </xf>
    <xf borderId="2" fillId="10" fontId="12" numFmtId="0" xfId="0" applyAlignment="1" applyBorder="1" applyFill="1" applyFont="1">
      <alignment horizontal="center" shrinkToFit="0" vertical="center" wrapText="1"/>
    </xf>
    <xf borderId="2" fillId="10" fontId="22" numFmtId="0" xfId="0" applyAlignment="1" applyBorder="1" applyFill="1" applyFont="1">
      <alignment horizontal="left" shrinkToFit="0" vertical="center" wrapText="1"/>
    </xf>
    <xf borderId="2" fillId="11" fontId="12" numFmtId="0" xfId="0" applyAlignment="1" applyBorder="1" applyFill="1" applyFont="1">
      <alignment horizontal="center" shrinkToFit="0" vertical="center" wrapText="1"/>
    </xf>
    <xf borderId="2" fillId="11" fontId="22" numFmtId="0" xfId="0" applyAlignment="1" applyBorder="1" applyFill="1" applyFont="1">
      <alignment horizontal="left" shrinkToFit="0" vertical="center" wrapText="1"/>
    </xf>
    <xf borderId="6" fillId="3" fontId="7" numFmtId="0" xfId="0" applyAlignment="1" applyBorder="1" applyFill="1" applyFont="1">
      <alignment horizontal="right" vertical="center"/>
    </xf>
    <xf borderId="7" fillId="0" fontId="16" numFmtId="0" xfId="0" applyBorder="1" applyFont="1"/>
    <xf borderId="8" fillId="0" fontId="16" numFmtId="0" xfId="0" applyBorder="1" applyFont="1"/>
    <xf borderId="0" fillId="0" fontId="24" numFmtId="0" xfId="0" applyAlignment="1" applyFont="1">
      <alignment horizontal="center" shrinkToFit="0" vertical="center" wrapText="1"/>
    </xf>
    <xf borderId="6" fillId="12" fontId="7" numFmtId="0" xfId="0" applyAlignment="1" applyBorder="1" applyFill="1" applyFont="1">
      <alignment horizontal="right" vertical="center"/>
    </xf>
    <xf borderId="0" fillId="0" fontId="10" numFmtId="0" xfId="0" applyAlignment="1" applyFont="1">
      <alignment horizontal="center" shrinkToFit="0" vertical="center" wrapText="1"/>
    </xf>
    <xf borderId="6" fillId="6" fontId="7" numFmtId="0" xfId="0" applyAlignment="1" applyBorder="1" applyFill="1" applyFont="1">
      <alignment horizontal="right" vertical="center"/>
    </xf>
    <xf borderId="0" fillId="0" fontId="25" numFmtId="164" xfId="0" applyAlignment="1" applyFont="1" applyNumberFormat="1">
      <alignment horizontal="center" shrinkToFit="0" vertical="center" wrapText="1"/>
    </xf>
    <xf borderId="6" fillId="7" fontId="7" numFmtId="0" xfId="0" applyAlignment="1" applyBorder="1" applyFill="1" applyFont="1">
      <alignment horizontal="right" vertical="center"/>
    </xf>
    <xf borderId="0" fillId="0" fontId="18" numFmtId="0" xfId="0" applyAlignment="1" applyFont="1">
      <alignment horizontal="center" shrinkToFit="0" vertical="center" wrapText="1"/>
    </xf>
  </cellXfs>
  <cellStyles count="1">
    <cellStyle xfId="0" name="Normal" builtinId="0"/>
  </cellStyles>
  <dxfs count="2">
    <dxf>
      <font>
        <b/>
        <color rgb="FF9C1F16"/>
        <name val="Quattrocento Sans"/>
      </font>
      <fill>
        <patternFill patternType="solid">
          <fgColor rgb="FFF4C7C3"/>
          <bgColor rgb="FFF4C7C3"/>
        </patternFill>
      </fill>
      <border/>
    </dxf>
    <dxf>
      <font>
        <b/>
        <color rgb="FF1F6E6B"/>
        <name val="Quattrocento Sans"/>
      </font>
      <fill>
        <patternFill patternType="solid">
          <fgColor rgb="FFD6EFEE"/>
          <bgColor rgb="FFD6EFE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95.0"/>
    <col customWidth="1" min="4" max="26" width="8.71"/>
  </cols>
  <sheetData>
    <row r="1" ht="14.25" customHeight="1"/>
    <row r="2" ht="29.25" customHeight="1">
      <c r="B2" s="1" t="s">
        <v>0</v>
      </c>
    </row>
    <row r="3" ht="18.75" customHeight="1">
      <c r="B3" s="3" t="s">
        <v>2</v>
      </c>
    </row>
    <row r="4" ht="14.25" customHeight="1"/>
    <row r="5" ht="21.75" customHeight="1">
      <c r="B5" s="6" t="s">
        <v>7</v>
      </c>
      <c r="C5" s="8"/>
    </row>
    <row r="6" ht="15.0" customHeight="1">
      <c r="B6" s="12" t="s">
        <v>19</v>
      </c>
      <c r="C6" s="15" t="s">
        <v>24</v>
      </c>
    </row>
    <row r="7" ht="30.0" customHeight="1">
      <c r="B7" s="12" t="s">
        <v>28</v>
      </c>
      <c r="C7" s="15" t="s">
        <v>29</v>
      </c>
    </row>
    <row r="8" ht="15.0" customHeight="1">
      <c r="B8" s="12" t="s">
        <v>32</v>
      </c>
      <c r="C8" s="15" t="s">
        <v>34</v>
      </c>
    </row>
    <row r="9" ht="15.0" customHeight="1">
      <c r="B9" s="12" t="s">
        <v>36</v>
      </c>
      <c r="C9" s="15" t="s">
        <v>37</v>
      </c>
    </row>
    <row r="10" ht="15.0" customHeight="1">
      <c r="B10" s="12"/>
      <c r="C10" s="15"/>
    </row>
    <row r="11" ht="19.5" customHeight="1">
      <c r="B11" s="6" t="s">
        <v>40</v>
      </c>
      <c r="C11" s="8"/>
    </row>
    <row r="12" ht="15.0" customHeight="1">
      <c r="B12" s="12" t="s">
        <v>12</v>
      </c>
      <c r="C12" s="15" t="s">
        <v>41</v>
      </c>
    </row>
    <row r="13" ht="15.0" customHeight="1">
      <c r="B13" s="12" t="s">
        <v>15</v>
      </c>
      <c r="C13" s="15" t="s">
        <v>42</v>
      </c>
    </row>
    <row r="14" ht="30.0" customHeight="1">
      <c r="B14" s="12" t="s">
        <v>43</v>
      </c>
      <c r="C14" s="15" t="s">
        <v>45</v>
      </c>
    </row>
    <row r="15" ht="30.0" customHeight="1">
      <c r="B15" s="12" t="s">
        <v>46</v>
      </c>
      <c r="C15" s="15" t="s">
        <v>47</v>
      </c>
    </row>
    <row r="16" ht="15.0" customHeight="1">
      <c r="B16" s="12"/>
      <c r="C16" s="15"/>
    </row>
    <row r="17" ht="19.5" customHeight="1">
      <c r="B17" s="6" t="s">
        <v>50</v>
      </c>
      <c r="C17" s="8"/>
    </row>
    <row r="18" ht="15.0" customHeight="1">
      <c r="B18" s="12" t="s">
        <v>54</v>
      </c>
      <c r="C18" s="15" t="s">
        <v>55</v>
      </c>
    </row>
    <row r="19" ht="15.0" customHeight="1">
      <c r="B19" s="12" t="s">
        <v>56</v>
      </c>
      <c r="C19" s="15" t="s">
        <v>57</v>
      </c>
    </row>
    <row r="20" ht="30.0" customHeight="1">
      <c r="B20" s="12" t="s">
        <v>58</v>
      </c>
      <c r="C20" s="15" t="s">
        <v>61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6.0"/>
    <col customWidth="1" min="3" max="3" width="12.0"/>
    <col customWidth="1" min="4" max="4" width="55.0"/>
    <col customWidth="1" min="5" max="26" width="8.71"/>
  </cols>
  <sheetData>
    <row r="1" ht="14.25" customHeight="1"/>
    <row r="2" ht="27.0" customHeight="1">
      <c r="B2" s="2" t="s">
        <v>1</v>
      </c>
    </row>
    <row r="3" ht="15.0" customHeight="1">
      <c r="B3" s="4" t="s">
        <v>3</v>
      </c>
    </row>
    <row r="4" ht="14.25" customHeight="1"/>
    <row r="5" ht="18.75" customHeight="1">
      <c r="B5" s="5" t="s">
        <v>5</v>
      </c>
    </row>
    <row r="6" ht="15.0" customHeight="1">
      <c r="B6" s="7" t="s">
        <v>9</v>
      </c>
      <c r="C6" s="7" t="s">
        <v>12</v>
      </c>
      <c r="D6" s="7" t="s">
        <v>14</v>
      </c>
    </row>
    <row r="7" ht="26.25" customHeight="1">
      <c r="B7" s="9" t="s">
        <v>16</v>
      </c>
      <c r="C7" s="11">
        <v>5.0</v>
      </c>
      <c r="D7" s="13" t="s">
        <v>23</v>
      </c>
    </row>
    <row r="8" ht="15.0" customHeight="1">
      <c r="B8" s="9" t="s">
        <v>25</v>
      </c>
      <c r="C8" s="11">
        <v>3.0</v>
      </c>
      <c r="D8" s="13" t="s">
        <v>26</v>
      </c>
    </row>
    <row r="9" ht="15.0" customHeight="1">
      <c r="B9" s="9" t="s">
        <v>27</v>
      </c>
      <c r="C9" s="11">
        <v>1.0</v>
      </c>
      <c r="D9" s="13" t="s">
        <v>30</v>
      </c>
    </row>
    <row r="10" ht="15.0" customHeight="1">
      <c r="B10" s="9" t="s">
        <v>33</v>
      </c>
      <c r="C10" s="11">
        <v>0.0</v>
      </c>
      <c r="D10" s="13" t="s">
        <v>35</v>
      </c>
    </row>
    <row r="11" ht="14.25" customHeight="1"/>
    <row r="12" ht="18.75" customHeight="1">
      <c r="B12" s="5" t="s">
        <v>38</v>
      </c>
    </row>
    <row r="13" ht="18.75" customHeight="1">
      <c r="B13" s="17" t="s">
        <v>39</v>
      </c>
      <c r="D13" s="19">
        <v>3.0</v>
      </c>
    </row>
    <row r="14" ht="14.25" customHeight="1"/>
    <row r="15" ht="18.75" customHeight="1">
      <c r="B15" s="5" t="s">
        <v>48</v>
      </c>
    </row>
    <row r="16" ht="15.0" customHeight="1">
      <c r="B16" s="7" t="s">
        <v>49</v>
      </c>
      <c r="C16" s="7" t="s">
        <v>51</v>
      </c>
      <c r="D16" s="7" t="s">
        <v>52</v>
      </c>
    </row>
    <row r="17" ht="15.0" customHeight="1">
      <c r="B17" s="20">
        <v>5.0</v>
      </c>
      <c r="C17" s="21" t="s">
        <v>59</v>
      </c>
      <c r="D17" s="13" t="s">
        <v>62</v>
      </c>
    </row>
    <row r="18" ht="15.0" customHeight="1">
      <c r="B18" s="20">
        <v>4.0</v>
      </c>
      <c r="C18" s="21" t="s">
        <v>63</v>
      </c>
      <c r="D18" s="13" t="s">
        <v>64</v>
      </c>
    </row>
    <row r="19" ht="15.0" customHeight="1">
      <c r="B19" s="20">
        <v>3.0</v>
      </c>
      <c r="C19" s="21" t="s">
        <v>65</v>
      </c>
      <c r="D19" s="13" t="s">
        <v>66</v>
      </c>
    </row>
    <row r="20" ht="15.0" customHeight="1">
      <c r="B20" s="20">
        <v>2.0</v>
      </c>
      <c r="C20" s="21" t="s">
        <v>67</v>
      </c>
      <c r="D20" s="13" t="s">
        <v>69</v>
      </c>
    </row>
    <row r="21" ht="15.0" customHeight="1">
      <c r="B21" s="20">
        <v>1.0</v>
      </c>
      <c r="C21" s="21" t="s">
        <v>70</v>
      </c>
      <c r="D21" s="13" t="s">
        <v>71</v>
      </c>
    </row>
    <row r="22" ht="15.0" customHeight="1">
      <c r="B22" s="20">
        <v>0.0</v>
      </c>
      <c r="C22" s="21" t="s">
        <v>72</v>
      </c>
      <c r="D22" s="13" t="s">
        <v>73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3:C13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0"/>
    <col customWidth="1" min="2" max="2" width="27.86"/>
    <col customWidth="1" min="3" max="3" width="48.0"/>
    <col customWidth="1" min="4" max="4" width="11.0"/>
    <col customWidth="1" min="5" max="7" width="9.0"/>
    <col customWidth="1" min="8" max="8" width="11.0"/>
    <col customWidth="1" min="9" max="9" width="9.0"/>
    <col customWidth="1" min="10" max="10" width="11.0"/>
    <col customWidth="1" min="11" max="11" width="9.0"/>
    <col customWidth="1" min="12" max="12" width="11.0"/>
    <col customWidth="1" min="13" max="13" width="9.0"/>
    <col customWidth="1" min="14" max="14" width="11.0"/>
    <col customWidth="1" min="15" max="15" width="14.0"/>
    <col customWidth="1" min="16" max="16" width="18.29"/>
    <col customWidth="1" min="17" max="26" width="8.71"/>
  </cols>
  <sheetData>
    <row r="1" ht="26.25" customHeight="1">
      <c r="A1" s="2" t="s">
        <v>4</v>
      </c>
    </row>
    <row r="2" ht="14.25" customHeight="1">
      <c r="A2" s="10" t="s">
        <v>8</v>
      </c>
    </row>
    <row r="3" ht="14.25" customHeight="1"/>
    <row r="4" ht="15.0" customHeight="1">
      <c r="A4" s="14" t="s">
        <v>22</v>
      </c>
      <c r="G4" s="16" t="s">
        <v>31</v>
      </c>
      <c r="H4" s="18"/>
      <c r="I4" s="16" t="s">
        <v>44</v>
      </c>
      <c r="J4" s="18"/>
      <c r="K4" s="16" t="s">
        <v>53</v>
      </c>
      <c r="L4" s="18"/>
      <c r="M4" s="16" t="s">
        <v>60</v>
      </c>
      <c r="N4" s="18"/>
      <c r="O4" s="23" t="s">
        <v>68</v>
      </c>
      <c r="P4" s="24" t="s">
        <v>74</v>
      </c>
      <c r="Q4" s="25"/>
      <c r="R4" s="26"/>
    </row>
    <row r="5" ht="14.25" customHeight="1">
      <c r="A5" s="7" t="s">
        <v>75</v>
      </c>
      <c r="B5" s="7" t="s">
        <v>76</v>
      </c>
      <c r="C5" s="7" t="s">
        <v>77</v>
      </c>
      <c r="D5" s="7" t="s">
        <v>78</v>
      </c>
      <c r="E5" s="7" t="s">
        <v>12</v>
      </c>
      <c r="F5" s="7"/>
      <c r="G5" s="28" t="s">
        <v>49</v>
      </c>
      <c r="H5" s="30" t="s">
        <v>79</v>
      </c>
      <c r="I5" s="28" t="s">
        <v>49</v>
      </c>
      <c r="J5" s="30" t="s">
        <v>79</v>
      </c>
      <c r="K5" s="28" t="s">
        <v>49</v>
      </c>
      <c r="L5" s="30" t="s">
        <v>79</v>
      </c>
      <c r="M5" s="28" t="s">
        <v>49</v>
      </c>
      <c r="N5" s="33" t="s">
        <v>79</v>
      </c>
      <c r="O5" s="34"/>
      <c r="P5" s="36"/>
      <c r="Q5" s="36"/>
    </row>
    <row r="6" ht="25.5" customHeight="1">
      <c r="A6" s="37" t="s">
        <v>80</v>
      </c>
      <c r="B6" s="38" t="s">
        <v>81</v>
      </c>
      <c r="C6" s="38" t="s">
        <v>82</v>
      </c>
      <c r="D6" s="39" t="s">
        <v>16</v>
      </c>
      <c r="E6" s="43">
        <f t="array" ref="E6">IFERROR(INDEX(Config!$C$7:$C$10,MATCH(D6,Config!$B$7:$B$10,0)),0)</f>
        <v>5</v>
      </c>
      <c r="F6" s="43"/>
      <c r="G6" s="11">
        <v>5.0</v>
      </c>
      <c r="H6" s="43">
        <f t="shared" ref="H6:H87" si="1">IF(G6="","",$E6*G6)</f>
        <v>25</v>
      </c>
      <c r="I6" s="11">
        <v>3.0</v>
      </c>
      <c r="J6" s="43">
        <f t="shared" ref="J6:J87" si="2">IF(I6="","",$E6*I6)</f>
        <v>15</v>
      </c>
      <c r="K6" s="11">
        <v>4.0</v>
      </c>
      <c r="L6" s="43">
        <f t="shared" ref="L6:L87" si="3">IF(K6="","",$E6*K6)</f>
        <v>20</v>
      </c>
      <c r="M6" s="11">
        <v>2.0</v>
      </c>
      <c r="N6" s="43">
        <f t="shared" ref="N6:N87" si="4">IF(M6="","",$E6*M6)</f>
        <v>10</v>
      </c>
    </row>
    <row r="7" ht="38.25" customHeight="1">
      <c r="A7" s="37" t="s">
        <v>83</v>
      </c>
      <c r="B7" s="38" t="s">
        <v>81</v>
      </c>
      <c r="C7" s="38" t="s">
        <v>84</v>
      </c>
      <c r="D7" s="39" t="s">
        <v>16</v>
      </c>
      <c r="E7" s="48">
        <f t="array" ref="E7">IFERROR(INDEX(Config!$C$7:$C$10,MATCH(D7,Config!$B$7:$B$10,0)),0)</f>
        <v>5</v>
      </c>
      <c r="F7" s="48"/>
      <c r="G7" s="11">
        <v>4.0</v>
      </c>
      <c r="H7" s="48">
        <f t="shared" si="1"/>
        <v>20</v>
      </c>
      <c r="I7" s="11">
        <v>4.0</v>
      </c>
      <c r="J7" s="48">
        <f t="shared" si="2"/>
        <v>20</v>
      </c>
      <c r="K7" s="11">
        <v>3.0</v>
      </c>
      <c r="L7" s="48">
        <f t="shared" si="3"/>
        <v>15</v>
      </c>
      <c r="M7" s="11">
        <v>5.0</v>
      </c>
      <c r="N7" s="48">
        <f t="shared" si="4"/>
        <v>25</v>
      </c>
    </row>
    <row r="8" ht="25.5" customHeight="1">
      <c r="A8" s="37" t="s">
        <v>89</v>
      </c>
      <c r="B8" s="38" t="s">
        <v>81</v>
      </c>
      <c r="C8" s="38" t="s">
        <v>90</v>
      </c>
      <c r="D8" s="39" t="s">
        <v>16</v>
      </c>
      <c r="E8" s="43">
        <f t="array" ref="E8">IFERROR(INDEX(Config!$C$7:$C$10,MATCH(D8,Config!$B$7:$B$10,0)),0)</f>
        <v>5</v>
      </c>
      <c r="F8" s="43"/>
      <c r="G8" s="11">
        <v>5.0</v>
      </c>
      <c r="H8" s="43">
        <f t="shared" si="1"/>
        <v>25</v>
      </c>
      <c r="I8" s="11">
        <v>2.0</v>
      </c>
      <c r="J8" s="43">
        <f t="shared" si="2"/>
        <v>10</v>
      </c>
      <c r="K8" s="11">
        <v>4.0</v>
      </c>
      <c r="L8" s="43">
        <f t="shared" si="3"/>
        <v>20</v>
      </c>
      <c r="M8" s="11">
        <v>3.0</v>
      </c>
      <c r="N8" s="43">
        <f t="shared" si="4"/>
        <v>15</v>
      </c>
    </row>
    <row r="9" ht="14.25" customHeight="1">
      <c r="A9" s="37" t="s">
        <v>91</v>
      </c>
      <c r="B9" s="38" t="s">
        <v>81</v>
      </c>
      <c r="C9" s="38" t="s">
        <v>92</v>
      </c>
      <c r="D9" s="39" t="s">
        <v>16</v>
      </c>
      <c r="E9" s="48">
        <f t="array" ref="E9">IFERROR(INDEX(Config!$C$7:$C$10,MATCH(D9,Config!$B$7:$B$10,0)),0)</f>
        <v>5</v>
      </c>
      <c r="F9" s="48"/>
      <c r="G9" s="11">
        <v>3.0</v>
      </c>
      <c r="H9" s="48">
        <f t="shared" si="1"/>
        <v>15</v>
      </c>
      <c r="I9" s="11">
        <v>4.0</v>
      </c>
      <c r="J9" s="48">
        <f t="shared" si="2"/>
        <v>20</v>
      </c>
      <c r="K9" s="11">
        <v>2.0</v>
      </c>
      <c r="L9" s="48">
        <f t="shared" si="3"/>
        <v>10</v>
      </c>
      <c r="M9" s="11">
        <v>4.0</v>
      </c>
      <c r="N9" s="48">
        <f t="shared" si="4"/>
        <v>20</v>
      </c>
    </row>
    <row r="10" ht="38.25" customHeight="1">
      <c r="A10" s="37" t="s">
        <v>93</v>
      </c>
      <c r="B10" s="38" t="s">
        <v>81</v>
      </c>
      <c r="C10" s="38" t="s">
        <v>94</v>
      </c>
      <c r="D10" s="39" t="s">
        <v>16</v>
      </c>
      <c r="E10" s="43">
        <f t="array" ref="E10">IFERROR(INDEX(Config!$C$7:$C$10,MATCH(D10,Config!$B$7:$B$10,0)),0)</f>
        <v>5</v>
      </c>
      <c r="F10" s="43"/>
      <c r="G10" s="11">
        <v>4.0</v>
      </c>
      <c r="H10" s="43">
        <f t="shared" si="1"/>
        <v>20</v>
      </c>
      <c r="I10" s="11">
        <v>3.0</v>
      </c>
      <c r="J10" s="43">
        <f t="shared" si="2"/>
        <v>15</v>
      </c>
      <c r="K10" s="11">
        <v>5.0</v>
      </c>
      <c r="L10" s="43">
        <f t="shared" si="3"/>
        <v>25</v>
      </c>
      <c r="M10" s="11">
        <v>3.0</v>
      </c>
      <c r="N10" s="43">
        <f t="shared" si="4"/>
        <v>15</v>
      </c>
    </row>
    <row r="11" ht="38.25" customHeight="1">
      <c r="A11" s="37" t="s">
        <v>95</v>
      </c>
      <c r="B11" s="38" t="s">
        <v>81</v>
      </c>
      <c r="C11" s="38" t="s">
        <v>96</v>
      </c>
      <c r="D11" s="39" t="s">
        <v>16</v>
      </c>
      <c r="E11" s="48">
        <f t="array" ref="E11">IFERROR(INDEX(Config!$C$7:$C$10,MATCH(D11,Config!$B$7:$B$10,0)),0)</f>
        <v>5</v>
      </c>
      <c r="F11" s="48"/>
      <c r="G11" s="11">
        <v>3.0</v>
      </c>
      <c r="H11" s="48">
        <f t="shared" si="1"/>
        <v>15</v>
      </c>
      <c r="I11" s="11">
        <v>5.0</v>
      </c>
      <c r="J11" s="48">
        <f t="shared" si="2"/>
        <v>25</v>
      </c>
      <c r="K11" s="11">
        <v>4.0</v>
      </c>
      <c r="L11" s="48">
        <f t="shared" si="3"/>
        <v>20</v>
      </c>
      <c r="M11" s="11">
        <v>2.0</v>
      </c>
      <c r="N11" s="48">
        <f t="shared" si="4"/>
        <v>10</v>
      </c>
    </row>
    <row r="12" ht="25.5" customHeight="1">
      <c r="A12" s="37" t="s">
        <v>97</v>
      </c>
      <c r="B12" s="38" t="s">
        <v>81</v>
      </c>
      <c r="C12" s="38" t="s">
        <v>98</v>
      </c>
      <c r="D12" s="39" t="s">
        <v>16</v>
      </c>
      <c r="E12" s="43">
        <f t="array" ref="E12">IFERROR(INDEX(Config!$C$7:$C$10,MATCH(D12,Config!$B$7:$B$10,0)),0)</f>
        <v>5</v>
      </c>
      <c r="F12" s="43"/>
      <c r="G12" s="11"/>
      <c r="H12" s="43" t="str">
        <f t="shared" si="1"/>
        <v/>
      </c>
      <c r="I12" s="11"/>
      <c r="J12" s="43" t="str">
        <f t="shared" si="2"/>
        <v/>
      </c>
      <c r="K12" s="11"/>
      <c r="L12" s="43" t="str">
        <f t="shared" si="3"/>
        <v/>
      </c>
      <c r="M12" s="11"/>
      <c r="N12" s="43" t="str">
        <f t="shared" si="4"/>
        <v/>
      </c>
    </row>
    <row r="13" ht="28.5" customHeight="1">
      <c r="A13" s="50" t="s">
        <v>99</v>
      </c>
      <c r="B13" s="51" t="s">
        <v>81</v>
      </c>
      <c r="C13" s="51" t="s">
        <v>100</v>
      </c>
      <c r="D13" s="39" t="s">
        <v>16</v>
      </c>
      <c r="E13" s="48">
        <f t="array" ref="E13">IFERROR(INDEX(Config!$C$7:$C$10,MATCH(D13,Config!$B$7:$B$10,0)),0)</f>
        <v>5</v>
      </c>
      <c r="F13" s="48"/>
      <c r="G13" s="11"/>
      <c r="H13" s="48" t="str">
        <f t="shared" si="1"/>
        <v/>
      </c>
      <c r="I13" s="11"/>
      <c r="J13" s="48" t="str">
        <f t="shared" si="2"/>
        <v/>
      </c>
      <c r="K13" s="11"/>
      <c r="L13" s="48" t="str">
        <f t="shared" si="3"/>
        <v/>
      </c>
      <c r="M13" s="11"/>
      <c r="N13" s="48" t="str">
        <f t="shared" si="4"/>
        <v/>
      </c>
      <c r="O13" s="52" t="s">
        <v>101</v>
      </c>
      <c r="P13" s="53" t="s">
        <v>102</v>
      </c>
    </row>
    <row r="14" ht="25.5" customHeight="1">
      <c r="A14" s="37" t="s">
        <v>103</v>
      </c>
      <c r="B14" s="38" t="s">
        <v>81</v>
      </c>
      <c r="C14" s="38" t="s">
        <v>104</v>
      </c>
      <c r="D14" s="39" t="s">
        <v>16</v>
      </c>
      <c r="E14" s="43">
        <f t="array" ref="E14">IFERROR(INDEX(Config!$C$7:$C$10,MATCH(D14,Config!$B$7:$B$10,0)),0)</f>
        <v>5</v>
      </c>
      <c r="F14" s="43"/>
      <c r="G14" s="11"/>
      <c r="H14" s="43" t="str">
        <f t="shared" si="1"/>
        <v/>
      </c>
      <c r="I14" s="11"/>
      <c r="J14" s="43" t="str">
        <f t="shared" si="2"/>
        <v/>
      </c>
      <c r="K14" s="11"/>
      <c r="L14" s="43" t="str">
        <f t="shared" si="3"/>
        <v/>
      </c>
      <c r="M14" s="11"/>
      <c r="N14" s="43" t="str">
        <f t="shared" si="4"/>
        <v/>
      </c>
    </row>
    <row r="15" ht="25.5" customHeight="1">
      <c r="A15" s="37" t="s">
        <v>105</v>
      </c>
      <c r="B15" s="38" t="s">
        <v>106</v>
      </c>
      <c r="C15" s="38" t="s">
        <v>107</v>
      </c>
      <c r="D15" s="39" t="s">
        <v>16</v>
      </c>
      <c r="E15" s="48">
        <f t="array" ref="E15">IFERROR(INDEX(Config!$C$7:$C$10,MATCH(D15,Config!$B$7:$B$10,0)),0)</f>
        <v>5</v>
      </c>
      <c r="F15" s="48"/>
      <c r="G15" s="11"/>
      <c r="H15" s="48" t="str">
        <f t="shared" si="1"/>
        <v/>
      </c>
      <c r="I15" s="11"/>
      <c r="J15" s="48" t="str">
        <f t="shared" si="2"/>
        <v/>
      </c>
      <c r="K15" s="11"/>
      <c r="L15" s="48" t="str">
        <f t="shared" si="3"/>
        <v/>
      </c>
      <c r="M15" s="11"/>
      <c r="N15" s="48" t="str">
        <f t="shared" si="4"/>
        <v/>
      </c>
    </row>
    <row r="16" ht="25.5" customHeight="1">
      <c r="A16" s="37" t="s">
        <v>108</v>
      </c>
      <c r="B16" s="38" t="s">
        <v>106</v>
      </c>
      <c r="C16" s="38" t="s">
        <v>109</v>
      </c>
      <c r="D16" s="39" t="s">
        <v>25</v>
      </c>
      <c r="E16" s="43">
        <f t="array" ref="E16">IFERROR(INDEX(Config!$C$7:$C$10,MATCH(D16,Config!$B$7:$B$10,0)),0)</f>
        <v>3</v>
      </c>
      <c r="F16" s="43"/>
      <c r="G16" s="11"/>
      <c r="H16" s="43" t="str">
        <f t="shared" si="1"/>
        <v/>
      </c>
      <c r="I16" s="11"/>
      <c r="J16" s="43" t="str">
        <f t="shared" si="2"/>
        <v/>
      </c>
      <c r="K16" s="11"/>
      <c r="L16" s="43" t="str">
        <f t="shared" si="3"/>
        <v/>
      </c>
      <c r="M16" s="11"/>
      <c r="N16" s="43" t="str">
        <f t="shared" si="4"/>
        <v/>
      </c>
    </row>
    <row r="17" ht="25.5" customHeight="1">
      <c r="A17" s="37" t="s">
        <v>110</v>
      </c>
      <c r="B17" s="38" t="s">
        <v>106</v>
      </c>
      <c r="C17" s="38" t="s">
        <v>111</v>
      </c>
      <c r="D17" s="39" t="s">
        <v>16</v>
      </c>
      <c r="E17" s="48">
        <f t="array" ref="E17">IFERROR(INDEX(Config!$C$7:$C$10,MATCH(D17,Config!$B$7:$B$10,0)),0)</f>
        <v>5</v>
      </c>
      <c r="F17" s="48"/>
      <c r="G17" s="11"/>
      <c r="H17" s="48" t="str">
        <f t="shared" si="1"/>
        <v/>
      </c>
      <c r="I17" s="11"/>
      <c r="J17" s="48" t="str">
        <f t="shared" si="2"/>
        <v/>
      </c>
      <c r="K17" s="11"/>
      <c r="L17" s="48" t="str">
        <f t="shared" si="3"/>
        <v/>
      </c>
      <c r="M17" s="11"/>
      <c r="N17" s="48" t="str">
        <f t="shared" si="4"/>
        <v/>
      </c>
    </row>
    <row r="18" ht="25.5" customHeight="1">
      <c r="A18" s="37" t="s">
        <v>112</v>
      </c>
      <c r="B18" s="38" t="s">
        <v>106</v>
      </c>
      <c r="C18" s="38" t="s">
        <v>113</v>
      </c>
      <c r="D18" s="39" t="s">
        <v>27</v>
      </c>
      <c r="E18" s="43">
        <f t="array" ref="E18">IFERROR(INDEX(Config!$C$7:$C$10,MATCH(D18,Config!$B$7:$B$10,0)),0)</f>
        <v>1</v>
      </c>
      <c r="F18" s="43"/>
      <c r="G18" s="11"/>
      <c r="H18" s="43" t="str">
        <f t="shared" si="1"/>
        <v/>
      </c>
      <c r="I18" s="11"/>
      <c r="J18" s="43" t="str">
        <f t="shared" si="2"/>
        <v/>
      </c>
      <c r="K18" s="11"/>
      <c r="L18" s="43" t="str">
        <f t="shared" si="3"/>
        <v/>
      </c>
      <c r="M18" s="11"/>
      <c r="N18" s="43" t="str">
        <f t="shared" si="4"/>
        <v/>
      </c>
    </row>
    <row r="19" ht="25.5" customHeight="1">
      <c r="A19" s="37" t="s">
        <v>114</v>
      </c>
      <c r="B19" s="38" t="s">
        <v>106</v>
      </c>
      <c r="C19" s="38" t="s">
        <v>115</v>
      </c>
      <c r="D19" s="39" t="s">
        <v>27</v>
      </c>
      <c r="E19" s="48">
        <f t="array" ref="E19">IFERROR(INDEX(Config!$C$7:$C$10,MATCH(D19,Config!$B$7:$B$10,0)),0)</f>
        <v>1</v>
      </c>
      <c r="F19" s="48"/>
      <c r="G19" s="11"/>
      <c r="H19" s="48" t="str">
        <f t="shared" si="1"/>
        <v/>
      </c>
      <c r="I19" s="11"/>
      <c r="J19" s="48" t="str">
        <f t="shared" si="2"/>
        <v/>
      </c>
      <c r="K19" s="11"/>
      <c r="L19" s="48" t="str">
        <f t="shared" si="3"/>
        <v/>
      </c>
      <c r="M19" s="11"/>
      <c r="N19" s="48" t="str">
        <f t="shared" si="4"/>
        <v/>
      </c>
    </row>
    <row r="20" ht="25.5" customHeight="1">
      <c r="A20" s="37" t="s">
        <v>116</v>
      </c>
      <c r="B20" s="38" t="s">
        <v>106</v>
      </c>
      <c r="C20" s="38" t="s">
        <v>117</v>
      </c>
      <c r="D20" s="39" t="s">
        <v>27</v>
      </c>
      <c r="E20" s="43">
        <f t="array" ref="E20">IFERROR(INDEX(Config!$C$7:$C$10,MATCH(D20,Config!$B$7:$B$10,0)),0)</f>
        <v>1</v>
      </c>
      <c r="F20" s="43"/>
      <c r="G20" s="11"/>
      <c r="H20" s="43" t="str">
        <f t="shared" si="1"/>
        <v/>
      </c>
      <c r="I20" s="11"/>
      <c r="J20" s="43" t="str">
        <f t="shared" si="2"/>
        <v/>
      </c>
      <c r="K20" s="11"/>
      <c r="L20" s="43" t="str">
        <f t="shared" si="3"/>
        <v/>
      </c>
      <c r="M20" s="11"/>
      <c r="N20" s="43" t="str">
        <f t="shared" si="4"/>
        <v/>
      </c>
    </row>
    <row r="21" ht="25.5" customHeight="1">
      <c r="A21" s="37" t="s">
        <v>118</v>
      </c>
      <c r="B21" s="38" t="s">
        <v>106</v>
      </c>
      <c r="C21" s="38" t="s">
        <v>119</v>
      </c>
      <c r="D21" s="39" t="s">
        <v>27</v>
      </c>
      <c r="E21" s="48">
        <f t="array" ref="E21">IFERROR(INDEX(Config!$C$7:$C$10,MATCH(D21,Config!$B$7:$B$10,0)),0)</f>
        <v>1</v>
      </c>
      <c r="F21" s="48"/>
      <c r="G21" s="11"/>
      <c r="H21" s="48" t="str">
        <f t="shared" si="1"/>
        <v/>
      </c>
      <c r="I21" s="11"/>
      <c r="J21" s="48" t="str">
        <f t="shared" si="2"/>
        <v/>
      </c>
      <c r="K21" s="11"/>
      <c r="L21" s="48" t="str">
        <f t="shared" si="3"/>
        <v/>
      </c>
      <c r="M21" s="11"/>
      <c r="N21" s="48" t="str">
        <f t="shared" si="4"/>
        <v/>
      </c>
    </row>
    <row r="22" ht="25.5" customHeight="1">
      <c r="A22" s="54" t="s">
        <v>120</v>
      </c>
      <c r="B22" s="55" t="s">
        <v>106</v>
      </c>
      <c r="C22" s="55" t="s">
        <v>121</v>
      </c>
      <c r="D22" s="39" t="s">
        <v>16</v>
      </c>
      <c r="E22" s="43">
        <f t="array" ref="E22">IFERROR(INDEX(Config!$C$7:$C$10,MATCH(D22,Config!$B$7:$B$10,0)),0)</f>
        <v>5</v>
      </c>
      <c r="F22" s="43"/>
      <c r="G22" s="11"/>
      <c r="H22" s="43" t="str">
        <f t="shared" si="1"/>
        <v/>
      </c>
      <c r="I22" s="11"/>
      <c r="J22" s="43" t="str">
        <f t="shared" si="2"/>
        <v/>
      </c>
      <c r="K22" s="11"/>
      <c r="L22" s="43" t="str">
        <f t="shared" si="3"/>
        <v/>
      </c>
      <c r="M22" s="11"/>
      <c r="N22" s="43" t="str">
        <f t="shared" si="4"/>
        <v/>
      </c>
      <c r="O22" s="53" t="s">
        <v>101</v>
      </c>
      <c r="P22" s="53" t="s">
        <v>122</v>
      </c>
    </row>
    <row r="23" ht="25.5" customHeight="1">
      <c r="A23" s="37" t="s">
        <v>123</v>
      </c>
      <c r="B23" s="38" t="s">
        <v>106</v>
      </c>
      <c r="C23" s="38" t="s">
        <v>124</v>
      </c>
      <c r="D23" s="39" t="s">
        <v>16</v>
      </c>
      <c r="E23" s="48">
        <f t="array" ref="E23">IFERROR(INDEX(Config!$C$7:$C$10,MATCH(D23,Config!$B$7:$B$10,0)),0)</f>
        <v>5</v>
      </c>
      <c r="F23" s="48"/>
      <c r="G23" s="11"/>
      <c r="H23" s="48" t="str">
        <f t="shared" si="1"/>
        <v/>
      </c>
      <c r="I23" s="11"/>
      <c r="J23" s="48" t="str">
        <f t="shared" si="2"/>
        <v/>
      </c>
      <c r="K23" s="11"/>
      <c r="L23" s="48" t="str">
        <f t="shared" si="3"/>
        <v/>
      </c>
      <c r="M23" s="11"/>
      <c r="N23" s="48" t="str">
        <f t="shared" si="4"/>
        <v/>
      </c>
    </row>
    <row r="24" ht="25.5" customHeight="1">
      <c r="A24" s="37" t="s">
        <v>125</v>
      </c>
      <c r="B24" s="38" t="s">
        <v>106</v>
      </c>
      <c r="C24" s="38" t="s">
        <v>126</v>
      </c>
      <c r="D24" s="39" t="s">
        <v>16</v>
      </c>
      <c r="E24" s="43">
        <f t="array" ref="E24">IFERROR(INDEX(Config!$C$7:$C$10,MATCH(D24,Config!$B$7:$B$10,0)),0)</f>
        <v>5</v>
      </c>
      <c r="F24" s="43"/>
      <c r="G24" s="11"/>
      <c r="H24" s="43" t="str">
        <f t="shared" si="1"/>
        <v/>
      </c>
      <c r="I24" s="11"/>
      <c r="J24" s="43" t="str">
        <f t="shared" si="2"/>
        <v/>
      </c>
      <c r="K24" s="11"/>
      <c r="L24" s="43" t="str">
        <f t="shared" si="3"/>
        <v/>
      </c>
      <c r="M24" s="11"/>
      <c r="N24" s="43" t="str">
        <f t="shared" si="4"/>
        <v/>
      </c>
    </row>
    <row r="25" ht="25.5" customHeight="1">
      <c r="A25" s="56" t="s">
        <v>127</v>
      </c>
      <c r="B25" s="57" t="s">
        <v>128</v>
      </c>
      <c r="C25" s="57" t="s">
        <v>129</v>
      </c>
      <c r="D25" s="39" t="s">
        <v>16</v>
      </c>
      <c r="E25" s="48">
        <f t="array" ref="E25">IFERROR(INDEX(Config!$C$7:$C$10,MATCH(D25,Config!$B$7:$B$10,0)),0)</f>
        <v>5</v>
      </c>
      <c r="F25" s="48"/>
      <c r="G25" s="11"/>
      <c r="H25" s="48" t="str">
        <f t="shared" si="1"/>
        <v/>
      </c>
      <c r="I25" s="11"/>
      <c r="J25" s="48" t="str">
        <f t="shared" si="2"/>
        <v/>
      </c>
      <c r="K25" s="11"/>
      <c r="L25" s="48" t="str">
        <f t="shared" si="3"/>
        <v/>
      </c>
      <c r="M25" s="11"/>
      <c r="N25" s="48" t="str">
        <f t="shared" si="4"/>
        <v/>
      </c>
      <c r="O25" s="53" t="s">
        <v>130</v>
      </c>
      <c r="P25" s="53" t="s">
        <v>131</v>
      </c>
    </row>
    <row r="26" ht="14.25" customHeight="1">
      <c r="A26" s="37" t="s">
        <v>132</v>
      </c>
      <c r="B26" s="38" t="s">
        <v>128</v>
      </c>
      <c r="C26" s="38" t="s">
        <v>133</v>
      </c>
      <c r="D26" s="39" t="s">
        <v>16</v>
      </c>
      <c r="E26" s="43">
        <f t="array" ref="E26">IFERROR(INDEX(Config!$C$7:$C$10,MATCH(D26,Config!$B$7:$B$10,0)),0)</f>
        <v>5</v>
      </c>
      <c r="F26" s="43"/>
      <c r="G26" s="11"/>
      <c r="H26" s="43" t="str">
        <f t="shared" si="1"/>
        <v/>
      </c>
      <c r="I26" s="11"/>
      <c r="J26" s="43" t="str">
        <f t="shared" si="2"/>
        <v/>
      </c>
      <c r="K26" s="11"/>
      <c r="L26" s="43" t="str">
        <f t="shared" si="3"/>
        <v/>
      </c>
      <c r="M26" s="11"/>
      <c r="N26" s="43" t="str">
        <f t="shared" si="4"/>
        <v/>
      </c>
    </row>
    <row r="27" ht="14.25" customHeight="1">
      <c r="A27" s="56" t="s">
        <v>134</v>
      </c>
      <c r="B27" s="57" t="s">
        <v>128</v>
      </c>
      <c r="C27" s="57" t="s">
        <v>135</v>
      </c>
      <c r="D27" s="39" t="s">
        <v>16</v>
      </c>
      <c r="E27" s="48">
        <f t="array" ref="E27">IFERROR(INDEX(Config!$C$7:$C$10,MATCH(D27,Config!$B$7:$B$10,0)),0)</f>
        <v>5</v>
      </c>
      <c r="F27" s="48"/>
      <c r="G27" s="11"/>
      <c r="H27" s="48" t="str">
        <f t="shared" si="1"/>
        <v/>
      </c>
      <c r="I27" s="11"/>
      <c r="J27" s="48" t="str">
        <f t="shared" si="2"/>
        <v/>
      </c>
      <c r="K27" s="11"/>
      <c r="L27" s="48" t="str">
        <f t="shared" si="3"/>
        <v/>
      </c>
      <c r="M27" s="11"/>
      <c r="N27" s="48" t="str">
        <f t="shared" si="4"/>
        <v/>
      </c>
      <c r="O27" s="53" t="s">
        <v>130</v>
      </c>
      <c r="P27" s="53" t="s">
        <v>136</v>
      </c>
    </row>
    <row r="28" ht="38.25" customHeight="1">
      <c r="A28" s="58" t="s">
        <v>137</v>
      </c>
      <c r="B28" s="59" t="s">
        <v>128</v>
      </c>
      <c r="C28" s="59" t="s">
        <v>138</v>
      </c>
      <c r="D28" s="39" t="s">
        <v>16</v>
      </c>
      <c r="E28" s="43">
        <f t="array" ref="E28">IFERROR(INDEX(Config!$C$7:$C$10,MATCH(D28,Config!$B$7:$B$10,0)),0)</f>
        <v>5</v>
      </c>
      <c r="F28" s="43"/>
      <c r="G28" s="11"/>
      <c r="H28" s="43" t="str">
        <f t="shared" si="1"/>
        <v/>
      </c>
      <c r="I28" s="11"/>
      <c r="J28" s="43" t="str">
        <f t="shared" si="2"/>
        <v/>
      </c>
      <c r="K28" s="11"/>
      <c r="L28" s="43" t="str">
        <f t="shared" si="3"/>
        <v/>
      </c>
      <c r="M28" s="11"/>
      <c r="N28" s="43" t="str">
        <f t="shared" si="4"/>
        <v/>
      </c>
      <c r="O28" s="53" t="s">
        <v>139</v>
      </c>
      <c r="P28" s="53" t="s">
        <v>140</v>
      </c>
    </row>
    <row r="29" ht="25.5" customHeight="1">
      <c r="A29" s="37" t="s">
        <v>141</v>
      </c>
      <c r="B29" s="38" t="s">
        <v>128</v>
      </c>
      <c r="C29" s="38" t="s">
        <v>142</v>
      </c>
      <c r="D29" s="39" t="s">
        <v>16</v>
      </c>
      <c r="E29" s="48">
        <f t="array" ref="E29">IFERROR(INDEX(Config!$C$7:$C$10,MATCH(D29,Config!$B$7:$B$10,0)),0)</f>
        <v>5</v>
      </c>
      <c r="F29" s="48"/>
      <c r="G29" s="11"/>
      <c r="H29" s="48" t="str">
        <f t="shared" si="1"/>
        <v/>
      </c>
      <c r="I29" s="11"/>
      <c r="J29" s="48" t="str">
        <f t="shared" si="2"/>
        <v/>
      </c>
      <c r="K29" s="11"/>
      <c r="L29" s="48" t="str">
        <f t="shared" si="3"/>
        <v/>
      </c>
      <c r="M29" s="11"/>
      <c r="N29" s="48" t="str">
        <f t="shared" si="4"/>
        <v/>
      </c>
    </row>
    <row r="30" ht="38.25" customHeight="1">
      <c r="A30" s="58" t="s">
        <v>143</v>
      </c>
      <c r="B30" s="59" t="s">
        <v>128</v>
      </c>
      <c r="C30" s="59" t="s">
        <v>144</v>
      </c>
      <c r="D30" s="39" t="s">
        <v>16</v>
      </c>
      <c r="E30" s="43">
        <f t="array" ref="E30">IFERROR(INDEX(Config!$C$7:$C$10,MATCH(D30,Config!$B$7:$B$10,0)),0)</f>
        <v>5</v>
      </c>
      <c r="F30" s="43"/>
      <c r="G30" s="11"/>
      <c r="H30" s="43" t="str">
        <f t="shared" si="1"/>
        <v/>
      </c>
      <c r="I30" s="11"/>
      <c r="J30" s="43" t="str">
        <f t="shared" si="2"/>
        <v/>
      </c>
      <c r="K30" s="11"/>
      <c r="L30" s="43" t="str">
        <f t="shared" si="3"/>
        <v/>
      </c>
      <c r="M30" s="11"/>
      <c r="N30" s="43" t="str">
        <f t="shared" si="4"/>
        <v/>
      </c>
      <c r="O30" s="53" t="s">
        <v>139</v>
      </c>
      <c r="P30" s="53" t="s">
        <v>145</v>
      </c>
    </row>
    <row r="31" ht="25.5" customHeight="1">
      <c r="A31" s="37" t="s">
        <v>146</v>
      </c>
      <c r="B31" s="38" t="s">
        <v>128</v>
      </c>
      <c r="C31" s="38" t="s">
        <v>147</v>
      </c>
      <c r="D31" s="39" t="s">
        <v>25</v>
      </c>
      <c r="E31" s="48">
        <f t="array" ref="E31">IFERROR(INDEX(Config!$C$7:$C$10,MATCH(D31,Config!$B$7:$B$10,0)),0)</f>
        <v>3</v>
      </c>
      <c r="F31" s="48"/>
      <c r="G31" s="11"/>
      <c r="H31" s="48" t="str">
        <f t="shared" si="1"/>
        <v/>
      </c>
      <c r="I31" s="11"/>
      <c r="J31" s="48" t="str">
        <f t="shared" si="2"/>
        <v/>
      </c>
      <c r="K31" s="11"/>
      <c r="L31" s="48" t="str">
        <f t="shared" si="3"/>
        <v/>
      </c>
      <c r="M31" s="11"/>
      <c r="N31" s="48" t="str">
        <f t="shared" si="4"/>
        <v/>
      </c>
    </row>
    <row r="32" ht="25.5" customHeight="1">
      <c r="A32" s="37" t="s">
        <v>148</v>
      </c>
      <c r="B32" s="38" t="s">
        <v>149</v>
      </c>
      <c r="C32" s="38" t="s">
        <v>150</v>
      </c>
      <c r="D32" s="39" t="s">
        <v>16</v>
      </c>
      <c r="E32" s="43">
        <f t="array" ref="E32">IFERROR(INDEX(Config!$C$7:$C$10,MATCH(D32,Config!$B$7:$B$10,0)),0)</f>
        <v>5</v>
      </c>
      <c r="F32" s="43"/>
      <c r="G32" s="11"/>
      <c r="H32" s="43" t="str">
        <f t="shared" si="1"/>
        <v/>
      </c>
      <c r="I32" s="11"/>
      <c r="J32" s="43" t="str">
        <f t="shared" si="2"/>
        <v/>
      </c>
      <c r="K32" s="11"/>
      <c r="L32" s="43" t="str">
        <f t="shared" si="3"/>
        <v/>
      </c>
      <c r="M32" s="11"/>
      <c r="N32" s="43" t="str">
        <f t="shared" si="4"/>
        <v/>
      </c>
    </row>
    <row r="33" ht="25.5" customHeight="1">
      <c r="A33" s="37" t="s">
        <v>151</v>
      </c>
      <c r="B33" s="38" t="s">
        <v>149</v>
      </c>
      <c r="C33" s="38" t="s">
        <v>152</v>
      </c>
      <c r="D33" s="39" t="s">
        <v>16</v>
      </c>
      <c r="E33" s="48">
        <f t="array" ref="E33">IFERROR(INDEX(Config!$C$7:$C$10,MATCH(D33,Config!$B$7:$B$10,0)),0)</f>
        <v>5</v>
      </c>
      <c r="F33" s="48"/>
      <c r="G33" s="11"/>
      <c r="H33" s="48" t="str">
        <f t="shared" si="1"/>
        <v/>
      </c>
      <c r="I33" s="11"/>
      <c r="J33" s="48" t="str">
        <f t="shared" si="2"/>
        <v/>
      </c>
      <c r="K33" s="11"/>
      <c r="L33" s="48" t="str">
        <f t="shared" si="3"/>
        <v/>
      </c>
      <c r="M33" s="11"/>
      <c r="N33" s="48" t="str">
        <f t="shared" si="4"/>
        <v/>
      </c>
    </row>
    <row r="34" ht="25.5" customHeight="1">
      <c r="A34" s="37" t="s">
        <v>153</v>
      </c>
      <c r="B34" s="38" t="s">
        <v>149</v>
      </c>
      <c r="C34" s="38" t="s">
        <v>154</v>
      </c>
      <c r="D34" s="39" t="s">
        <v>25</v>
      </c>
      <c r="E34" s="48">
        <f t="array" ref="E34">IFERROR(INDEX(Config!$C$7:$C$10,MATCH(D34,Config!$B$7:$B$10,0)),0)</f>
        <v>3</v>
      </c>
      <c r="F34" s="48"/>
      <c r="G34" s="11"/>
      <c r="H34" s="48" t="str">
        <f t="shared" si="1"/>
        <v/>
      </c>
      <c r="I34" s="11"/>
      <c r="J34" s="48" t="str">
        <f t="shared" si="2"/>
        <v/>
      </c>
      <c r="K34" s="11"/>
      <c r="L34" s="48" t="str">
        <f t="shared" si="3"/>
        <v/>
      </c>
      <c r="M34" s="11"/>
      <c r="N34" s="48" t="str">
        <f t="shared" si="4"/>
        <v/>
      </c>
      <c r="O34" s="53"/>
    </row>
    <row r="35" ht="38.25" customHeight="1">
      <c r="A35" s="37" t="s">
        <v>155</v>
      </c>
      <c r="B35" s="38" t="s">
        <v>149</v>
      </c>
      <c r="C35" s="38" t="s">
        <v>156</v>
      </c>
      <c r="D35" s="39" t="s">
        <v>16</v>
      </c>
      <c r="E35" s="48">
        <f t="array" ref="E35">IFERROR(INDEX(Config!$C$7:$C$10,MATCH(D35,Config!$B$7:$B$10,0)),0)</f>
        <v>5</v>
      </c>
      <c r="F35" s="48"/>
      <c r="G35" s="11"/>
      <c r="H35" s="48" t="str">
        <f t="shared" si="1"/>
        <v/>
      </c>
      <c r="I35" s="11"/>
      <c r="J35" s="48" t="str">
        <f t="shared" si="2"/>
        <v/>
      </c>
      <c r="K35" s="11"/>
      <c r="L35" s="48" t="str">
        <f t="shared" si="3"/>
        <v/>
      </c>
      <c r="M35" s="11"/>
      <c r="N35" s="48" t="str">
        <f t="shared" si="4"/>
        <v/>
      </c>
    </row>
    <row r="36" ht="38.25" customHeight="1">
      <c r="A36" s="37" t="s">
        <v>157</v>
      </c>
      <c r="B36" s="38" t="s">
        <v>149</v>
      </c>
      <c r="C36" s="38" t="s">
        <v>158</v>
      </c>
      <c r="D36" s="39" t="s">
        <v>25</v>
      </c>
      <c r="E36" s="48">
        <f t="array" ref="E36">IFERROR(INDEX(Config!$C$7:$C$10,MATCH(D36,Config!$B$7:$B$10,0)),0)</f>
        <v>3</v>
      </c>
      <c r="F36" s="48"/>
      <c r="G36" s="11"/>
      <c r="H36" s="48" t="str">
        <f t="shared" si="1"/>
        <v/>
      </c>
      <c r="I36" s="11"/>
      <c r="J36" s="48" t="str">
        <f t="shared" si="2"/>
        <v/>
      </c>
      <c r="K36" s="11"/>
      <c r="L36" s="48" t="str">
        <f t="shared" si="3"/>
        <v/>
      </c>
      <c r="M36" s="11"/>
      <c r="N36" s="48" t="str">
        <f t="shared" si="4"/>
        <v/>
      </c>
    </row>
    <row r="37" ht="25.5" customHeight="1">
      <c r="A37" s="37" t="s">
        <v>159</v>
      </c>
      <c r="B37" s="38" t="s">
        <v>149</v>
      </c>
      <c r="C37" s="38" t="s">
        <v>160</v>
      </c>
      <c r="D37" s="39" t="s">
        <v>16</v>
      </c>
      <c r="E37" s="48">
        <f t="array" ref="E37">IFERROR(INDEX(Config!$C$7:$C$10,MATCH(D37,Config!$B$7:$B$10,0)),0)</f>
        <v>5</v>
      </c>
      <c r="F37" s="48"/>
      <c r="G37" s="11"/>
      <c r="H37" s="48" t="str">
        <f t="shared" si="1"/>
        <v/>
      </c>
      <c r="I37" s="11"/>
      <c r="J37" s="48" t="str">
        <f t="shared" si="2"/>
        <v/>
      </c>
      <c r="K37" s="11"/>
      <c r="L37" s="48" t="str">
        <f t="shared" si="3"/>
        <v/>
      </c>
      <c r="M37" s="11"/>
      <c r="N37" s="48" t="str">
        <f t="shared" si="4"/>
        <v/>
      </c>
    </row>
    <row r="38" ht="25.5" customHeight="1">
      <c r="A38" s="50" t="s">
        <v>161</v>
      </c>
      <c r="B38" s="51" t="s">
        <v>162</v>
      </c>
      <c r="C38" s="51" t="s">
        <v>163</v>
      </c>
      <c r="D38" s="39" t="s">
        <v>16</v>
      </c>
      <c r="E38" s="48">
        <f t="array" ref="E38">IFERROR(INDEX(Config!$C$7:$C$10,MATCH(D38,Config!$B$7:$B$10,0)),0)</f>
        <v>5</v>
      </c>
      <c r="F38" s="48"/>
      <c r="G38" s="11"/>
      <c r="H38" s="48" t="str">
        <f t="shared" si="1"/>
        <v/>
      </c>
      <c r="I38" s="11"/>
      <c r="J38" s="48" t="str">
        <f t="shared" si="2"/>
        <v/>
      </c>
      <c r="K38" s="11"/>
      <c r="L38" s="48" t="str">
        <f t="shared" si="3"/>
        <v/>
      </c>
      <c r="M38" s="11"/>
      <c r="N38" s="48" t="str">
        <f t="shared" si="4"/>
        <v/>
      </c>
      <c r="O38" s="53" t="s">
        <v>101</v>
      </c>
      <c r="P38" s="53" t="s">
        <v>164</v>
      </c>
    </row>
    <row r="39" ht="25.5" customHeight="1">
      <c r="A39" s="37" t="s">
        <v>165</v>
      </c>
      <c r="B39" s="38" t="s">
        <v>162</v>
      </c>
      <c r="C39" s="38" t="s">
        <v>166</v>
      </c>
      <c r="D39" s="39" t="s">
        <v>16</v>
      </c>
      <c r="E39" s="48">
        <f t="array" ref="E39">IFERROR(INDEX(Config!$C$7:$C$10,MATCH(D39,Config!$B$7:$B$10,0)),0)</f>
        <v>5</v>
      </c>
      <c r="F39" s="48"/>
      <c r="G39" s="11"/>
      <c r="H39" s="48" t="str">
        <f t="shared" si="1"/>
        <v/>
      </c>
      <c r="I39" s="11"/>
      <c r="J39" s="48" t="str">
        <f t="shared" si="2"/>
        <v/>
      </c>
      <c r="K39" s="11"/>
      <c r="L39" s="48" t="str">
        <f t="shared" si="3"/>
        <v/>
      </c>
      <c r="M39" s="11"/>
      <c r="N39" s="48" t="str">
        <f t="shared" si="4"/>
        <v/>
      </c>
    </row>
    <row r="40" ht="25.5" customHeight="1">
      <c r="A40" s="37" t="s">
        <v>167</v>
      </c>
      <c r="B40" s="38" t="s">
        <v>162</v>
      </c>
      <c r="C40" s="38" t="s">
        <v>168</v>
      </c>
      <c r="D40" s="39" t="s">
        <v>27</v>
      </c>
      <c r="E40" s="48">
        <f t="array" ref="E40">IFERROR(INDEX(Config!$C$7:$C$10,MATCH(D40,Config!$B$7:$B$10,0)),0)</f>
        <v>1</v>
      </c>
      <c r="F40" s="48"/>
      <c r="G40" s="11"/>
      <c r="H40" s="48" t="str">
        <f t="shared" si="1"/>
        <v/>
      </c>
      <c r="I40" s="11"/>
      <c r="J40" s="48" t="str">
        <f t="shared" si="2"/>
        <v/>
      </c>
      <c r="K40" s="11"/>
      <c r="L40" s="48" t="str">
        <f t="shared" si="3"/>
        <v/>
      </c>
      <c r="M40" s="11"/>
      <c r="N40" s="48" t="str">
        <f t="shared" si="4"/>
        <v/>
      </c>
    </row>
    <row r="41" ht="25.5" customHeight="1">
      <c r="A41" s="37" t="s">
        <v>169</v>
      </c>
      <c r="B41" s="38" t="s">
        <v>162</v>
      </c>
      <c r="C41" s="38" t="s">
        <v>170</v>
      </c>
      <c r="D41" s="39" t="s">
        <v>25</v>
      </c>
      <c r="E41" s="48">
        <f t="array" ref="E41">IFERROR(INDEX(Config!$C$7:$C$10,MATCH(D41,Config!$B$7:$B$10,0)),0)</f>
        <v>3</v>
      </c>
      <c r="F41" s="48"/>
      <c r="G41" s="11"/>
      <c r="H41" s="48" t="str">
        <f t="shared" si="1"/>
        <v/>
      </c>
      <c r="I41" s="11"/>
      <c r="J41" s="48" t="str">
        <f t="shared" si="2"/>
        <v/>
      </c>
      <c r="K41" s="11"/>
      <c r="L41" s="48" t="str">
        <f t="shared" si="3"/>
        <v/>
      </c>
      <c r="M41" s="11"/>
      <c r="N41" s="48" t="str">
        <f t="shared" si="4"/>
        <v/>
      </c>
    </row>
    <row r="42" ht="38.25" customHeight="1">
      <c r="A42" s="37" t="s">
        <v>171</v>
      </c>
      <c r="B42" s="38" t="s">
        <v>162</v>
      </c>
      <c r="C42" s="38" t="s">
        <v>172</v>
      </c>
      <c r="D42" s="39" t="s">
        <v>25</v>
      </c>
      <c r="E42" s="48">
        <f t="array" ref="E42">IFERROR(INDEX(Config!$C$7:$C$10,MATCH(D42,Config!$B$7:$B$10,0)),0)</f>
        <v>3</v>
      </c>
      <c r="F42" s="48"/>
      <c r="G42" s="11"/>
      <c r="H42" s="48" t="str">
        <f t="shared" si="1"/>
        <v/>
      </c>
      <c r="I42" s="11"/>
      <c r="J42" s="48" t="str">
        <f t="shared" si="2"/>
        <v/>
      </c>
      <c r="K42" s="11"/>
      <c r="L42" s="48" t="str">
        <f t="shared" si="3"/>
        <v/>
      </c>
      <c r="M42" s="11"/>
      <c r="N42" s="48" t="str">
        <f t="shared" si="4"/>
        <v/>
      </c>
    </row>
    <row r="43" ht="25.5" customHeight="1">
      <c r="A43" s="37" t="s">
        <v>173</v>
      </c>
      <c r="B43" s="38" t="s">
        <v>162</v>
      </c>
      <c r="C43" s="38" t="s">
        <v>174</v>
      </c>
      <c r="D43" s="39" t="s">
        <v>16</v>
      </c>
      <c r="E43" s="48">
        <f t="array" ref="E43">IFERROR(INDEX(Config!$C$7:$C$10,MATCH(D43,Config!$B$7:$B$10,0)),0)</f>
        <v>5</v>
      </c>
      <c r="F43" s="48"/>
      <c r="G43" s="11"/>
      <c r="H43" s="48" t="str">
        <f t="shared" si="1"/>
        <v/>
      </c>
      <c r="I43" s="11"/>
      <c r="J43" s="48" t="str">
        <f t="shared" si="2"/>
        <v/>
      </c>
      <c r="K43" s="11"/>
      <c r="L43" s="48" t="str">
        <f t="shared" si="3"/>
        <v/>
      </c>
      <c r="M43" s="11"/>
      <c r="N43" s="48" t="str">
        <f t="shared" si="4"/>
        <v/>
      </c>
    </row>
    <row r="44" ht="14.25" customHeight="1">
      <c r="A44" s="37" t="s">
        <v>175</v>
      </c>
      <c r="B44" s="38" t="s">
        <v>176</v>
      </c>
      <c r="C44" s="38" t="s">
        <v>177</v>
      </c>
      <c r="D44" s="39" t="s">
        <v>16</v>
      </c>
      <c r="E44" s="48">
        <f t="array" ref="E44">IFERROR(INDEX(Config!$C$7:$C$10,MATCH(D44,Config!$B$7:$B$10,0)),0)</f>
        <v>5</v>
      </c>
      <c r="F44" s="48"/>
      <c r="G44" s="11"/>
      <c r="H44" s="48" t="str">
        <f t="shared" si="1"/>
        <v/>
      </c>
      <c r="I44" s="11"/>
      <c r="J44" s="48" t="str">
        <f t="shared" si="2"/>
        <v/>
      </c>
      <c r="K44" s="11"/>
      <c r="L44" s="48" t="str">
        <f t="shared" si="3"/>
        <v/>
      </c>
      <c r="M44" s="11"/>
      <c r="N44" s="48" t="str">
        <f t="shared" si="4"/>
        <v/>
      </c>
    </row>
    <row r="45" ht="14.25" customHeight="1">
      <c r="A45" s="37" t="s">
        <v>178</v>
      </c>
      <c r="B45" s="38" t="s">
        <v>176</v>
      </c>
      <c r="C45" s="38" t="s">
        <v>179</v>
      </c>
      <c r="D45" s="39" t="s">
        <v>33</v>
      </c>
      <c r="E45" s="48">
        <f t="array" ref="E45">IFERROR(INDEX(Config!$C$7:$C$10,MATCH(D45,Config!$B$7:$B$10,0)),0)</f>
        <v>0</v>
      </c>
      <c r="F45" s="48"/>
      <c r="G45" s="11"/>
      <c r="H45" s="48" t="str">
        <f t="shared" si="1"/>
        <v/>
      </c>
      <c r="I45" s="11"/>
      <c r="J45" s="48" t="str">
        <f t="shared" si="2"/>
        <v/>
      </c>
      <c r="K45" s="11"/>
      <c r="L45" s="48" t="str">
        <f t="shared" si="3"/>
        <v/>
      </c>
      <c r="M45" s="11"/>
      <c r="N45" s="48" t="str">
        <f t="shared" si="4"/>
        <v/>
      </c>
    </row>
    <row r="46" ht="14.25" customHeight="1">
      <c r="A46" s="37" t="s">
        <v>180</v>
      </c>
      <c r="B46" s="38" t="s">
        <v>176</v>
      </c>
      <c r="C46" s="38" t="s">
        <v>181</v>
      </c>
      <c r="D46" s="39" t="s">
        <v>33</v>
      </c>
      <c r="E46" s="48">
        <f t="array" ref="E46">IFERROR(INDEX(Config!$C$7:$C$10,MATCH(D46,Config!$B$7:$B$10,0)),0)</f>
        <v>0</v>
      </c>
      <c r="F46" s="48"/>
      <c r="G46" s="11"/>
      <c r="H46" s="48" t="str">
        <f t="shared" si="1"/>
        <v/>
      </c>
      <c r="I46" s="11"/>
      <c r="J46" s="48" t="str">
        <f t="shared" si="2"/>
        <v/>
      </c>
      <c r="K46" s="11"/>
      <c r="L46" s="48" t="str">
        <f t="shared" si="3"/>
        <v/>
      </c>
      <c r="M46" s="11"/>
      <c r="N46" s="48" t="str">
        <f t="shared" si="4"/>
        <v/>
      </c>
    </row>
    <row r="47" ht="14.25" customHeight="1">
      <c r="A47" s="56" t="s">
        <v>182</v>
      </c>
      <c r="B47" s="57" t="s">
        <v>176</v>
      </c>
      <c r="C47" s="57" t="s">
        <v>183</v>
      </c>
      <c r="D47" s="39" t="s">
        <v>16</v>
      </c>
      <c r="E47" s="48">
        <f t="array" ref="E47">IFERROR(INDEX(Config!$C$7:$C$10,MATCH(D47,Config!$B$7:$B$10,0)),0)</f>
        <v>5</v>
      </c>
      <c r="F47" s="48"/>
      <c r="G47" s="11"/>
      <c r="H47" s="48" t="str">
        <f t="shared" si="1"/>
        <v/>
      </c>
      <c r="I47" s="11"/>
      <c r="J47" s="48" t="str">
        <f t="shared" si="2"/>
        <v/>
      </c>
      <c r="K47" s="11"/>
      <c r="L47" s="48" t="str">
        <f t="shared" si="3"/>
        <v/>
      </c>
      <c r="M47" s="11"/>
      <c r="N47" s="48" t="str">
        <f t="shared" si="4"/>
        <v/>
      </c>
      <c r="O47" s="53" t="s">
        <v>184</v>
      </c>
      <c r="P47" s="53" t="s">
        <v>185</v>
      </c>
    </row>
    <row r="48" ht="14.25" customHeight="1">
      <c r="A48" s="37" t="s">
        <v>186</v>
      </c>
      <c r="B48" s="38" t="s">
        <v>176</v>
      </c>
      <c r="C48" s="38" t="s">
        <v>187</v>
      </c>
      <c r="D48" s="39" t="s">
        <v>27</v>
      </c>
      <c r="E48" s="48">
        <f t="array" ref="E48">IFERROR(INDEX(Config!$C$7:$C$10,MATCH(D48,Config!$B$7:$B$10,0)),0)</f>
        <v>1</v>
      </c>
      <c r="F48" s="48"/>
      <c r="G48" s="11"/>
      <c r="H48" s="48" t="str">
        <f t="shared" si="1"/>
        <v/>
      </c>
      <c r="I48" s="11"/>
      <c r="J48" s="48" t="str">
        <f t="shared" si="2"/>
        <v/>
      </c>
      <c r="K48" s="11"/>
      <c r="L48" s="48" t="str">
        <f t="shared" si="3"/>
        <v/>
      </c>
      <c r="M48" s="11"/>
      <c r="N48" s="48" t="str">
        <f t="shared" si="4"/>
        <v/>
      </c>
      <c r="O48" s="53"/>
    </row>
    <row r="49" ht="25.5" customHeight="1">
      <c r="A49" s="56" t="s">
        <v>188</v>
      </c>
      <c r="B49" s="57" t="s">
        <v>176</v>
      </c>
      <c r="C49" s="57" t="s">
        <v>189</v>
      </c>
      <c r="D49" s="39" t="s">
        <v>16</v>
      </c>
      <c r="E49" s="48">
        <f t="array" ref="E49">IFERROR(INDEX(Config!$C$7:$C$10,MATCH(D49,Config!$B$7:$B$10,0)),0)</f>
        <v>5</v>
      </c>
      <c r="F49" s="48"/>
      <c r="G49" s="11"/>
      <c r="H49" s="48" t="str">
        <f t="shared" si="1"/>
        <v/>
      </c>
      <c r="I49" s="11"/>
      <c r="J49" s="48" t="str">
        <f t="shared" si="2"/>
        <v/>
      </c>
      <c r="K49" s="11"/>
      <c r="L49" s="48" t="str">
        <f t="shared" si="3"/>
        <v/>
      </c>
      <c r="M49" s="11"/>
      <c r="N49" s="48" t="str">
        <f t="shared" si="4"/>
        <v/>
      </c>
      <c r="O49" s="53" t="s">
        <v>184</v>
      </c>
      <c r="P49" s="53" t="s">
        <v>190</v>
      </c>
    </row>
    <row r="50" ht="25.5" customHeight="1">
      <c r="A50" s="37" t="s">
        <v>191</v>
      </c>
      <c r="B50" s="38" t="s">
        <v>176</v>
      </c>
      <c r="C50" s="38" t="s">
        <v>192</v>
      </c>
      <c r="D50" s="39" t="s">
        <v>25</v>
      </c>
      <c r="E50" s="48">
        <f t="array" ref="E50">IFERROR(INDEX(Config!$C$7:$C$10,MATCH(D50,Config!$B$7:$B$10,0)),0)</f>
        <v>3</v>
      </c>
      <c r="F50" s="48"/>
      <c r="G50" s="11"/>
      <c r="H50" s="48" t="str">
        <f t="shared" si="1"/>
        <v/>
      </c>
      <c r="I50" s="11"/>
      <c r="J50" s="48" t="str">
        <f t="shared" si="2"/>
        <v/>
      </c>
      <c r="K50" s="11"/>
      <c r="L50" s="48" t="str">
        <f t="shared" si="3"/>
        <v/>
      </c>
      <c r="M50" s="11"/>
      <c r="N50" s="48" t="str">
        <f t="shared" si="4"/>
        <v/>
      </c>
    </row>
    <row r="51" ht="25.5" customHeight="1">
      <c r="A51" s="37" t="s">
        <v>193</v>
      </c>
      <c r="B51" s="38" t="s">
        <v>176</v>
      </c>
      <c r="C51" s="38" t="s">
        <v>194</v>
      </c>
      <c r="D51" s="39" t="s">
        <v>25</v>
      </c>
      <c r="E51" s="48">
        <f t="array" ref="E51">IFERROR(INDEX(Config!$C$7:$C$10,MATCH(D51,Config!$B$7:$B$10,0)),0)</f>
        <v>3</v>
      </c>
      <c r="F51" s="48"/>
      <c r="G51" s="11"/>
      <c r="H51" s="48" t="str">
        <f t="shared" si="1"/>
        <v/>
      </c>
      <c r="I51" s="11"/>
      <c r="J51" s="48" t="str">
        <f t="shared" si="2"/>
        <v/>
      </c>
      <c r="K51" s="11"/>
      <c r="L51" s="48" t="str">
        <f t="shared" si="3"/>
        <v/>
      </c>
      <c r="M51" s="11"/>
      <c r="N51" s="48" t="str">
        <f t="shared" si="4"/>
        <v/>
      </c>
    </row>
    <row r="52" ht="40.5" customHeight="1">
      <c r="A52" s="54" t="s">
        <v>195</v>
      </c>
      <c r="B52" s="55" t="s">
        <v>196</v>
      </c>
      <c r="C52" s="55" t="s">
        <v>197</v>
      </c>
      <c r="D52" s="39" t="s">
        <v>16</v>
      </c>
      <c r="E52" s="48">
        <f t="array" ref="E52">IFERROR(INDEX(Config!$C$7:$C$10,MATCH(D52,Config!$B$7:$B$10,0)),0)</f>
        <v>5</v>
      </c>
      <c r="F52" s="48"/>
      <c r="G52" s="11"/>
      <c r="H52" s="48" t="str">
        <f t="shared" si="1"/>
        <v/>
      </c>
      <c r="I52" s="11"/>
      <c r="J52" s="48" t="str">
        <f t="shared" si="2"/>
        <v/>
      </c>
      <c r="K52" s="11"/>
      <c r="L52" s="48" t="str">
        <f t="shared" si="3"/>
        <v/>
      </c>
      <c r="M52" s="11"/>
      <c r="N52" s="48" t="str">
        <f t="shared" si="4"/>
        <v/>
      </c>
      <c r="O52" s="53" t="s">
        <v>101</v>
      </c>
      <c r="P52" s="53" t="s">
        <v>198</v>
      </c>
    </row>
    <row r="53" ht="25.5" customHeight="1">
      <c r="A53" s="37" t="s">
        <v>199</v>
      </c>
      <c r="B53" s="38" t="s">
        <v>196</v>
      </c>
      <c r="C53" s="38" t="s">
        <v>200</v>
      </c>
      <c r="D53" s="39" t="s">
        <v>16</v>
      </c>
      <c r="E53" s="48">
        <f t="array" ref="E53">IFERROR(INDEX(Config!$C$7:$C$10,MATCH(D53,Config!$B$7:$B$10,0)),0)</f>
        <v>5</v>
      </c>
      <c r="F53" s="48"/>
      <c r="G53" s="11"/>
      <c r="H53" s="48" t="str">
        <f t="shared" si="1"/>
        <v/>
      </c>
      <c r="I53" s="11"/>
      <c r="J53" s="48" t="str">
        <f t="shared" si="2"/>
        <v/>
      </c>
      <c r="K53" s="11"/>
      <c r="L53" s="48" t="str">
        <f t="shared" si="3"/>
        <v/>
      </c>
      <c r="M53" s="11"/>
      <c r="N53" s="48" t="str">
        <f t="shared" si="4"/>
        <v/>
      </c>
      <c r="O53" s="53"/>
      <c r="P53" s="53"/>
    </row>
    <row r="54" ht="25.5" customHeight="1">
      <c r="A54" s="50" t="s">
        <v>201</v>
      </c>
      <c r="B54" s="51" t="s">
        <v>196</v>
      </c>
      <c r="C54" s="51" t="s">
        <v>202</v>
      </c>
      <c r="D54" s="39" t="s">
        <v>16</v>
      </c>
      <c r="E54" s="48">
        <f t="array" ref="E54">IFERROR(INDEX(Config!$C$7:$C$10,MATCH(D54,Config!$B$7:$B$10,0)),0)</f>
        <v>5</v>
      </c>
      <c r="F54" s="48"/>
      <c r="G54" s="11"/>
      <c r="H54" s="48" t="str">
        <f t="shared" si="1"/>
        <v/>
      </c>
      <c r="I54" s="11"/>
      <c r="J54" s="48" t="str">
        <f t="shared" si="2"/>
        <v/>
      </c>
      <c r="K54" s="11"/>
      <c r="L54" s="48" t="str">
        <f t="shared" si="3"/>
        <v/>
      </c>
      <c r="M54" s="11"/>
      <c r="N54" s="48" t="str">
        <f t="shared" si="4"/>
        <v/>
      </c>
      <c r="O54" s="53" t="s">
        <v>101</v>
      </c>
      <c r="P54" s="53" t="s">
        <v>203</v>
      </c>
    </row>
    <row r="55" ht="25.5" customHeight="1">
      <c r="A55" s="37" t="s">
        <v>204</v>
      </c>
      <c r="B55" s="38" t="s">
        <v>205</v>
      </c>
      <c r="C55" s="38" t="s">
        <v>206</v>
      </c>
      <c r="D55" s="39" t="s">
        <v>27</v>
      </c>
      <c r="E55" s="48">
        <f t="array" ref="E55">IFERROR(INDEX(Config!$C$7:$C$10,MATCH(D55,Config!$B$7:$B$10,0)),0)</f>
        <v>1</v>
      </c>
      <c r="F55" s="48"/>
      <c r="G55" s="11"/>
      <c r="H55" s="48" t="str">
        <f t="shared" si="1"/>
        <v/>
      </c>
      <c r="I55" s="11"/>
      <c r="J55" s="48" t="str">
        <f t="shared" si="2"/>
        <v/>
      </c>
      <c r="K55" s="11"/>
      <c r="L55" s="48" t="str">
        <f t="shared" si="3"/>
        <v/>
      </c>
      <c r="M55" s="11"/>
      <c r="N55" s="48" t="str">
        <f t="shared" si="4"/>
        <v/>
      </c>
    </row>
    <row r="56" ht="25.5" customHeight="1">
      <c r="A56" s="37" t="s">
        <v>207</v>
      </c>
      <c r="B56" s="38" t="s">
        <v>205</v>
      </c>
      <c r="C56" s="38" t="s">
        <v>208</v>
      </c>
      <c r="D56" s="39" t="s">
        <v>16</v>
      </c>
      <c r="E56" s="48">
        <f t="array" ref="E56">IFERROR(INDEX(Config!$C$7:$C$10,MATCH(D56,Config!$B$7:$B$10,0)),0)</f>
        <v>5</v>
      </c>
      <c r="F56" s="48"/>
      <c r="G56" s="11"/>
      <c r="H56" s="48" t="str">
        <f t="shared" si="1"/>
        <v/>
      </c>
      <c r="I56" s="11"/>
      <c r="J56" s="48" t="str">
        <f t="shared" si="2"/>
        <v/>
      </c>
      <c r="K56" s="11"/>
      <c r="L56" s="48" t="str">
        <f t="shared" si="3"/>
        <v/>
      </c>
      <c r="M56" s="11"/>
      <c r="N56" s="48" t="str">
        <f t="shared" si="4"/>
        <v/>
      </c>
    </row>
    <row r="57" ht="25.5" customHeight="1">
      <c r="A57" s="37" t="s">
        <v>209</v>
      </c>
      <c r="B57" s="38" t="s">
        <v>210</v>
      </c>
      <c r="C57" s="38" t="s">
        <v>211</v>
      </c>
      <c r="D57" s="39" t="s">
        <v>16</v>
      </c>
      <c r="E57" s="48">
        <f t="array" ref="E57">IFERROR(INDEX(Config!$C$7:$C$10,MATCH(D57,Config!$B$7:$B$10,0)),0)</f>
        <v>5</v>
      </c>
      <c r="F57" s="48"/>
      <c r="G57" s="11"/>
      <c r="H57" s="48" t="str">
        <f t="shared" si="1"/>
        <v/>
      </c>
      <c r="I57" s="11"/>
      <c r="J57" s="48" t="str">
        <f t="shared" si="2"/>
        <v/>
      </c>
      <c r="K57" s="11"/>
      <c r="L57" s="48" t="str">
        <f t="shared" si="3"/>
        <v/>
      </c>
      <c r="M57" s="11"/>
      <c r="N57" s="48" t="str">
        <f t="shared" si="4"/>
        <v/>
      </c>
    </row>
    <row r="58" ht="25.5" customHeight="1">
      <c r="A58" s="37" t="s">
        <v>212</v>
      </c>
      <c r="B58" s="38" t="s">
        <v>210</v>
      </c>
      <c r="C58" s="38" t="s">
        <v>213</v>
      </c>
      <c r="D58" s="39" t="s">
        <v>16</v>
      </c>
      <c r="E58" s="48">
        <f t="array" ref="E58">IFERROR(INDEX(Config!$C$7:$C$10,MATCH(D58,Config!$B$7:$B$10,0)),0)</f>
        <v>5</v>
      </c>
      <c r="F58" s="48"/>
      <c r="G58" s="11"/>
      <c r="H58" s="48" t="str">
        <f t="shared" si="1"/>
        <v/>
      </c>
      <c r="I58" s="11"/>
      <c r="J58" s="48" t="str">
        <f t="shared" si="2"/>
        <v/>
      </c>
      <c r="K58" s="11"/>
      <c r="L58" s="48" t="str">
        <f t="shared" si="3"/>
        <v/>
      </c>
      <c r="M58" s="11"/>
      <c r="N58" s="48" t="str">
        <f t="shared" si="4"/>
        <v/>
      </c>
    </row>
    <row r="59" ht="25.5" customHeight="1">
      <c r="A59" s="37" t="s">
        <v>214</v>
      </c>
      <c r="B59" s="38" t="s">
        <v>210</v>
      </c>
      <c r="C59" s="38" t="s">
        <v>215</v>
      </c>
      <c r="D59" s="39" t="s">
        <v>16</v>
      </c>
      <c r="E59" s="48">
        <f t="array" ref="E59">IFERROR(INDEX(Config!$C$7:$C$10,MATCH(D59,Config!$B$7:$B$10,0)),0)</f>
        <v>5</v>
      </c>
      <c r="F59" s="48"/>
      <c r="G59" s="11"/>
      <c r="H59" s="48" t="str">
        <f t="shared" si="1"/>
        <v/>
      </c>
      <c r="I59" s="11"/>
      <c r="J59" s="48" t="str">
        <f t="shared" si="2"/>
        <v/>
      </c>
      <c r="K59" s="11"/>
      <c r="L59" s="48" t="str">
        <f t="shared" si="3"/>
        <v/>
      </c>
      <c r="M59" s="11"/>
      <c r="N59" s="48" t="str">
        <f t="shared" si="4"/>
        <v/>
      </c>
    </row>
    <row r="60" ht="25.5" customHeight="1">
      <c r="A60" s="50" t="s">
        <v>216</v>
      </c>
      <c r="B60" s="51" t="s">
        <v>210</v>
      </c>
      <c r="C60" s="51" t="s">
        <v>217</v>
      </c>
      <c r="D60" s="39" t="s">
        <v>16</v>
      </c>
      <c r="E60" s="48">
        <f t="array" ref="E60">IFERROR(INDEX(Config!$C$7:$C$10,MATCH(D60,Config!$B$7:$B$10,0)),0)</f>
        <v>5</v>
      </c>
      <c r="F60" s="48"/>
      <c r="G60" s="11"/>
      <c r="H60" s="48" t="str">
        <f t="shared" si="1"/>
        <v/>
      </c>
      <c r="I60" s="11"/>
      <c r="J60" s="48" t="str">
        <f t="shared" si="2"/>
        <v/>
      </c>
      <c r="K60" s="11"/>
      <c r="L60" s="48" t="str">
        <f t="shared" si="3"/>
        <v/>
      </c>
      <c r="M60" s="11"/>
      <c r="N60" s="48" t="str">
        <f t="shared" si="4"/>
        <v/>
      </c>
      <c r="O60" s="53" t="s">
        <v>101</v>
      </c>
      <c r="P60" s="53" t="s">
        <v>218</v>
      </c>
    </row>
    <row r="61" ht="25.5" customHeight="1">
      <c r="A61" s="37" t="s">
        <v>219</v>
      </c>
      <c r="B61" s="38" t="s">
        <v>210</v>
      </c>
      <c r="C61" s="38" t="s">
        <v>220</v>
      </c>
      <c r="D61" s="39" t="s">
        <v>16</v>
      </c>
      <c r="E61" s="48">
        <f t="array" ref="E61">IFERROR(INDEX(Config!$C$7:$C$10,MATCH(D61,Config!$B$7:$B$10,0)),0)</f>
        <v>5</v>
      </c>
      <c r="F61" s="48"/>
      <c r="G61" s="11"/>
      <c r="H61" s="48" t="str">
        <f t="shared" si="1"/>
        <v/>
      </c>
      <c r="I61" s="11"/>
      <c r="J61" s="48" t="str">
        <f t="shared" si="2"/>
        <v/>
      </c>
      <c r="K61" s="11"/>
      <c r="L61" s="48" t="str">
        <f t="shared" si="3"/>
        <v/>
      </c>
      <c r="M61" s="11"/>
      <c r="N61" s="48" t="str">
        <f t="shared" si="4"/>
        <v/>
      </c>
    </row>
    <row r="62" ht="25.5" customHeight="1">
      <c r="A62" s="37" t="s">
        <v>221</v>
      </c>
      <c r="B62" s="38" t="s">
        <v>222</v>
      </c>
      <c r="C62" s="38" t="s">
        <v>223</v>
      </c>
      <c r="D62" s="39" t="s">
        <v>25</v>
      </c>
      <c r="E62" s="48">
        <f t="array" ref="E62">IFERROR(INDEX(Config!$C$7:$C$10,MATCH(D62,Config!$B$7:$B$10,0)),0)</f>
        <v>3</v>
      </c>
      <c r="F62" s="48"/>
      <c r="G62" s="11"/>
      <c r="H62" s="48" t="str">
        <f t="shared" si="1"/>
        <v/>
      </c>
      <c r="I62" s="11"/>
      <c r="J62" s="48" t="str">
        <f t="shared" si="2"/>
        <v/>
      </c>
      <c r="K62" s="11"/>
      <c r="L62" s="48" t="str">
        <f t="shared" si="3"/>
        <v/>
      </c>
      <c r="M62" s="11"/>
      <c r="N62" s="48" t="str">
        <f t="shared" si="4"/>
        <v/>
      </c>
    </row>
    <row r="63" ht="25.5" customHeight="1">
      <c r="A63" s="37" t="s">
        <v>224</v>
      </c>
      <c r="B63" s="38" t="s">
        <v>222</v>
      </c>
      <c r="C63" s="38" t="s">
        <v>225</v>
      </c>
      <c r="D63" s="39" t="s">
        <v>25</v>
      </c>
      <c r="E63" s="48">
        <f t="array" ref="E63">IFERROR(INDEX(Config!$C$7:$C$10,MATCH(D63,Config!$B$7:$B$10,0)),0)</f>
        <v>3</v>
      </c>
      <c r="F63" s="48"/>
      <c r="G63" s="11"/>
      <c r="H63" s="48" t="str">
        <f t="shared" si="1"/>
        <v/>
      </c>
      <c r="I63" s="11"/>
      <c r="J63" s="48" t="str">
        <f t="shared" si="2"/>
        <v/>
      </c>
      <c r="K63" s="11"/>
      <c r="L63" s="48" t="str">
        <f t="shared" si="3"/>
        <v/>
      </c>
      <c r="M63" s="11"/>
      <c r="N63" s="48" t="str">
        <f t="shared" si="4"/>
        <v/>
      </c>
    </row>
    <row r="64" ht="25.5" customHeight="1">
      <c r="A64" s="50" t="s">
        <v>226</v>
      </c>
      <c r="B64" s="51" t="s">
        <v>222</v>
      </c>
      <c r="C64" s="51" t="s">
        <v>227</v>
      </c>
      <c r="D64" s="39" t="s">
        <v>16</v>
      </c>
      <c r="E64" s="48">
        <f t="array" ref="E64">IFERROR(INDEX(Config!$C$7:$C$10,MATCH(D64,Config!$B$7:$B$10,0)),0)</f>
        <v>5</v>
      </c>
      <c r="F64" s="48"/>
      <c r="G64" s="11"/>
      <c r="H64" s="48" t="str">
        <f t="shared" si="1"/>
        <v/>
      </c>
      <c r="I64" s="11"/>
      <c r="J64" s="48" t="str">
        <f t="shared" si="2"/>
        <v/>
      </c>
      <c r="K64" s="11"/>
      <c r="L64" s="48" t="str">
        <f t="shared" si="3"/>
        <v/>
      </c>
      <c r="M64" s="11"/>
      <c r="N64" s="48" t="str">
        <f t="shared" si="4"/>
        <v/>
      </c>
      <c r="O64" s="53" t="s">
        <v>101</v>
      </c>
      <c r="P64" s="53" t="s">
        <v>228</v>
      </c>
    </row>
    <row r="65" ht="25.5" customHeight="1">
      <c r="A65" s="50" t="s">
        <v>229</v>
      </c>
      <c r="B65" s="51" t="s">
        <v>222</v>
      </c>
      <c r="C65" s="51" t="s">
        <v>230</v>
      </c>
      <c r="D65" s="39" t="s">
        <v>16</v>
      </c>
      <c r="E65" s="48">
        <f t="array" ref="E65">IFERROR(INDEX(Config!$C$7:$C$10,MATCH(D65,Config!$B$7:$B$10,0)),0)</f>
        <v>5</v>
      </c>
      <c r="F65" s="48"/>
      <c r="G65" s="11"/>
      <c r="H65" s="48" t="str">
        <f t="shared" si="1"/>
        <v/>
      </c>
      <c r="I65" s="11"/>
      <c r="J65" s="48" t="str">
        <f t="shared" si="2"/>
        <v/>
      </c>
      <c r="K65" s="11"/>
      <c r="L65" s="48" t="str">
        <f t="shared" si="3"/>
        <v/>
      </c>
      <c r="M65" s="11"/>
      <c r="N65" s="48" t="str">
        <f t="shared" si="4"/>
        <v/>
      </c>
      <c r="O65" s="53" t="s">
        <v>101</v>
      </c>
      <c r="P65" s="53" t="s">
        <v>231</v>
      </c>
    </row>
    <row r="66" ht="25.5" customHeight="1">
      <c r="A66" s="50" t="s">
        <v>232</v>
      </c>
      <c r="B66" s="51" t="s">
        <v>222</v>
      </c>
      <c r="C66" s="51" t="s">
        <v>233</v>
      </c>
      <c r="D66" s="39" t="s">
        <v>16</v>
      </c>
      <c r="E66" s="48">
        <f t="array" ref="E66">IFERROR(INDEX(Config!$C$7:$C$10,MATCH(D66,Config!$B$7:$B$10,0)),0)</f>
        <v>5</v>
      </c>
      <c r="F66" s="48"/>
      <c r="G66" s="11"/>
      <c r="H66" s="48" t="str">
        <f t="shared" si="1"/>
        <v/>
      </c>
      <c r="I66" s="11"/>
      <c r="J66" s="48" t="str">
        <f t="shared" si="2"/>
        <v/>
      </c>
      <c r="K66" s="11"/>
      <c r="L66" s="48" t="str">
        <f t="shared" si="3"/>
        <v/>
      </c>
      <c r="M66" s="11"/>
      <c r="N66" s="48" t="str">
        <f t="shared" si="4"/>
        <v/>
      </c>
      <c r="O66" s="53" t="s">
        <v>101</v>
      </c>
      <c r="P66" s="53" t="s">
        <v>234</v>
      </c>
    </row>
    <row r="67" ht="25.5" customHeight="1">
      <c r="A67" s="50" t="s">
        <v>235</v>
      </c>
      <c r="B67" s="51" t="s">
        <v>222</v>
      </c>
      <c r="C67" s="51" t="s">
        <v>236</v>
      </c>
      <c r="D67" s="39" t="s">
        <v>16</v>
      </c>
      <c r="E67" s="48">
        <f t="array" ref="E67">IFERROR(INDEX(Config!$C$7:$C$10,MATCH(D67,Config!$B$7:$B$10,0)),0)</f>
        <v>5</v>
      </c>
      <c r="F67" s="48"/>
      <c r="G67" s="11"/>
      <c r="H67" s="48" t="str">
        <f t="shared" si="1"/>
        <v/>
      </c>
      <c r="I67" s="11"/>
      <c r="J67" s="48" t="str">
        <f t="shared" si="2"/>
        <v/>
      </c>
      <c r="K67" s="11"/>
      <c r="L67" s="48" t="str">
        <f t="shared" si="3"/>
        <v/>
      </c>
      <c r="M67" s="11"/>
      <c r="N67" s="48" t="str">
        <f t="shared" si="4"/>
        <v/>
      </c>
      <c r="O67" s="53" t="s">
        <v>101</v>
      </c>
      <c r="P67" s="53" t="s">
        <v>237</v>
      </c>
    </row>
    <row r="68" ht="25.5" customHeight="1">
      <c r="A68" s="50" t="s">
        <v>238</v>
      </c>
      <c r="B68" s="51" t="s">
        <v>222</v>
      </c>
      <c r="C68" s="51" t="s">
        <v>239</v>
      </c>
      <c r="D68" s="39" t="s">
        <v>16</v>
      </c>
      <c r="E68" s="48">
        <f t="array" ref="E68">IFERROR(INDEX(Config!$C$7:$C$10,MATCH(D68,Config!$B$7:$B$10,0)),0)</f>
        <v>5</v>
      </c>
      <c r="F68" s="48"/>
      <c r="G68" s="11"/>
      <c r="H68" s="48" t="str">
        <f t="shared" si="1"/>
        <v/>
      </c>
      <c r="I68" s="11"/>
      <c r="J68" s="48" t="str">
        <f t="shared" si="2"/>
        <v/>
      </c>
      <c r="K68" s="11"/>
      <c r="L68" s="48" t="str">
        <f t="shared" si="3"/>
        <v/>
      </c>
      <c r="M68" s="11"/>
      <c r="N68" s="48" t="str">
        <f t="shared" si="4"/>
        <v/>
      </c>
      <c r="O68" s="53" t="s">
        <v>101</v>
      </c>
      <c r="P68" s="53" t="s">
        <v>240</v>
      </c>
    </row>
    <row r="69" ht="25.5" customHeight="1">
      <c r="A69" s="50" t="s">
        <v>241</v>
      </c>
      <c r="B69" s="51" t="s">
        <v>222</v>
      </c>
      <c r="C69" s="51" t="s">
        <v>242</v>
      </c>
      <c r="D69" s="39" t="s">
        <v>16</v>
      </c>
      <c r="E69" s="48">
        <f t="array" ref="E69">IFERROR(INDEX(Config!$C$7:$C$10,MATCH(D69,Config!$B$7:$B$10,0)),0)</f>
        <v>5</v>
      </c>
      <c r="F69" s="48"/>
      <c r="G69" s="11"/>
      <c r="H69" s="48" t="str">
        <f t="shared" si="1"/>
        <v/>
      </c>
      <c r="I69" s="11"/>
      <c r="J69" s="48" t="str">
        <f t="shared" si="2"/>
        <v/>
      </c>
      <c r="K69" s="11"/>
      <c r="L69" s="48" t="str">
        <f t="shared" si="3"/>
        <v/>
      </c>
      <c r="M69" s="11"/>
      <c r="N69" s="48" t="str">
        <f t="shared" si="4"/>
        <v/>
      </c>
      <c r="O69" s="53" t="s">
        <v>101</v>
      </c>
      <c r="P69" s="53" t="s">
        <v>243</v>
      </c>
    </row>
    <row r="70" ht="25.5" customHeight="1">
      <c r="A70" s="37" t="s">
        <v>244</v>
      </c>
      <c r="B70" s="38" t="s">
        <v>222</v>
      </c>
      <c r="C70" s="38" t="s">
        <v>245</v>
      </c>
      <c r="D70" s="39" t="s">
        <v>16</v>
      </c>
      <c r="E70" s="48">
        <f t="array" ref="E70">IFERROR(INDEX(Config!$C$7:$C$10,MATCH(D70,Config!$B$7:$B$10,0)),0)</f>
        <v>5</v>
      </c>
      <c r="F70" s="48"/>
      <c r="G70" s="11"/>
      <c r="H70" s="48" t="str">
        <f t="shared" si="1"/>
        <v/>
      </c>
      <c r="I70" s="11"/>
      <c r="J70" s="48" t="str">
        <f t="shared" si="2"/>
        <v/>
      </c>
      <c r="K70" s="11"/>
      <c r="L70" s="48" t="str">
        <f t="shared" si="3"/>
        <v/>
      </c>
      <c r="M70" s="11"/>
      <c r="N70" s="48" t="str">
        <f t="shared" si="4"/>
        <v/>
      </c>
    </row>
    <row r="71" ht="25.5" customHeight="1">
      <c r="A71" s="37" t="s">
        <v>246</v>
      </c>
      <c r="B71" s="38" t="s">
        <v>222</v>
      </c>
      <c r="C71" s="38" t="s">
        <v>247</v>
      </c>
      <c r="D71" s="39" t="s">
        <v>25</v>
      </c>
      <c r="E71" s="48">
        <f t="array" ref="E71">IFERROR(INDEX(Config!$C$7:$C$10,MATCH(D71,Config!$B$7:$B$10,0)),0)</f>
        <v>3</v>
      </c>
      <c r="F71" s="48"/>
      <c r="G71" s="11"/>
      <c r="H71" s="48" t="str">
        <f t="shared" si="1"/>
        <v/>
      </c>
      <c r="I71" s="11"/>
      <c r="J71" s="48" t="str">
        <f t="shared" si="2"/>
        <v/>
      </c>
      <c r="K71" s="11"/>
      <c r="L71" s="48" t="str">
        <f t="shared" si="3"/>
        <v/>
      </c>
      <c r="M71" s="11"/>
      <c r="N71" s="48" t="str">
        <f t="shared" si="4"/>
        <v/>
      </c>
    </row>
    <row r="72" ht="25.5" customHeight="1">
      <c r="A72" s="50" t="s">
        <v>248</v>
      </c>
      <c r="B72" s="51" t="s">
        <v>249</v>
      </c>
      <c r="C72" s="51" t="s">
        <v>250</v>
      </c>
      <c r="D72" s="39" t="s">
        <v>16</v>
      </c>
      <c r="E72" s="48">
        <f t="array" ref="E72">IFERROR(INDEX(Config!$C$7:$C$10,MATCH(D72,Config!$B$7:$B$10,0)),0)</f>
        <v>5</v>
      </c>
      <c r="F72" s="48"/>
      <c r="G72" s="11"/>
      <c r="H72" s="48" t="str">
        <f t="shared" si="1"/>
        <v/>
      </c>
      <c r="I72" s="11"/>
      <c r="J72" s="48" t="str">
        <f t="shared" si="2"/>
        <v/>
      </c>
      <c r="K72" s="11"/>
      <c r="L72" s="48" t="str">
        <f t="shared" si="3"/>
        <v/>
      </c>
      <c r="M72" s="11"/>
      <c r="N72" s="48" t="str">
        <f t="shared" si="4"/>
        <v/>
      </c>
      <c r="O72" s="53" t="s">
        <v>101</v>
      </c>
      <c r="P72" s="53" t="s">
        <v>251</v>
      </c>
    </row>
    <row r="73" ht="25.5" customHeight="1">
      <c r="A73" s="37" t="s">
        <v>252</v>
      </c>
      <c r="B73" s="38" t="s">
        <v>249</v>
      </c>
      <c r="C73" s="38" t="s">
        <v>253</v>
      </c>
      <c r="D73" s="39" t="s">
        <v>16</v>
      </c>
      <c r="E73" s="48">
        <f t="array" ref="E73">IFERROR(INDEX(Config!$C$7:$C$10,MATCH(D73,Config!$B$7:$B$10,0)),0)</f>
        <v>5</v>
      </c>
      <c r="F73" s="48"/>
      <c r="G73" s="11"/>
      <c r="H73" s="48" t="str">
        <f t="shared" si="1"/>
        <v/>
      </c>
      <c r="I73" s="11"/>
      <c r="J73" s="48" t="str">
        <f t="shared" si="2"/>
        <v/>
      </c>
      <c r="K73" s="11"/>
      <c r="L73" s="48" t="str">
        <f t="shared" si="3"/>
        <v/>
      </c>
      <c r="M73" s="11"/>
      <c r="N73" s="48" t="str">
        <f t="shared" si="4"/>
        <v/>
      </c>
    </row>
    <row r="74" ht="25.5" customHeight="1">
      <c r="A74" s="56" t="s">
        <v>254</v>
      </c>
      <c r="B74" s="57" t="s">
        <v>249</v>
      </c>
      <c r="C74" s="57" t="s">
        <v>255</v>
      </c>
      <c r="D74" s="39" t="s">
        <v>16</v>
      </c>
      <c r="E74" s="48">
        <f t="array" ref="E74">IFERROR(INDEX(Config!$C$7:$C$10,MATCH(D74,Config!$B$7:$B$10,0)),0)</f>
        <v>5</v>
      </c>
      <c r="F74" s="48"/>
      <c r="G74" s="11"/>
      <c r="H74" s="48" t="str">
        <f t="shared" si="1"/>
        <v/>
      </c>
      <c r="I74" s="11"/>
      <c r="J74" s="48" t="str">
        <f t="shared" si="2"/>
        <v/>
      </c>
      <c r="K74" s="11"/>
      <c r="L74" s="48" t="str">
        <f t="shared" si="3"/>
        <v/>
      </c>
      <c r="M74" s="11"/>
      <c r="N74" s="48" t="str">
        <f t="shared" si="4"/>
        <v/>
      </c>
      <c r="O74" s="53" t="s">
        <v>184</v>
      </c>
      <c r="P74" s="53" t="s">
        <v>256</v>
      </c>
    </row>
    <row r="75" ht="25.5" customHeight="1">
      <c r="A75" s="37" t="s">
        <v>257</v>
      </c>
      <c r="B75" s="38" t="s">
        <v>249</v>
      </c>
      <c r="C75" s="38" t="s">
        <v>258</v>
      </c>
      <c r="D75" s="39" t="s">
        <v>25</v>
      </c>
      <c r="E75" s="48">
        <f t="array" ref="E75">IFERROR(INDEX(Config!$C$7:$C$10,MATCH(D75,Config!$B$7:$B$10,0)),0)</f>
        <v>3</v>
      </c>
      <c r="F75" s="48"/>
      <c r="G75" s="11"/>
      <c r="H75" s="48" t="str">
        <f t="shared" si="1"/>
        <v/>
      </c>
      <c r="I75" s="11"/>
      <c r="J75" s="48" t="str">
        <f t="shared" si="2"/>
        <v/>
      </c>
      <c r="K75" s="11"/>
      <c r="L75" s="48" t="str">
        <f t="shared" si="3"/>
        <v/>
      </c>
      <c r="M75" s="11"/>
      <c r="N75" s="48" t="str">
        <f t="shared" si="4"/>
        <v/>
      </c>
    </row>
    <row r="76" ht="25.5" customHeight="1">
      <c r="A76" s="37" t="s">
        <v>259</v>
      </c>
      <c r="B76" s="38" t="s">
        <v>260</v>
      </c>
      <c r="C76" s="38" t="s">
        <v>261</v>
      </c>
      <c r="D76" s="39" t="s">
        <v>16</v>
      </c>
      <c r="E76" s="48">
        <f t="array" ref="E76">IFERROR(INDEX(Config!$C$7:$C$10,MATCH(D76,Config!$B$7:$B$10,0)),0)</f>
        <v>5</v>
      </c>
      <c r="F76" s="48"/>
      <c r="G76" s="11"/>
      <c r="H76" s="48" t="str">
        <f t="shared" si="1"/>
        <v/>
      </c>
      <c r="I76" s="11"/>
      <c r="J76" s="48" t="str">
        <f t="shared" si="2"/>
        <v/>
      </c>
      <c r="K76" s="11"/>
      <c r="L76" s="48" t="str">
        <f t="shared" si="3"/>
        <v/>
      </c>
      <c r="M76" s="11"/>
      <c r="N76" s="48" t="str">
        <f t="shared" si="4"/>
        <v/>
      </c>
    </row>
    <row r="77" ht="25.5" customHeight="1">
      <c r="A77" s="37" t="s">
        <v>262</v>
      </c>
      <c r="B77" s="38" t="s">
        <v>260</v>
      </c>
      <c r="C77" s="38" t="s">
        <v>263</v>
      </c>
      <c r="D77" s="39" t="s">
        <v>16</v>
      </c>
      <c r="E77" s="48">
        <f t="array" ref="E77">IFERROR(INDEX(Config!$C$7:$C$10,MATCH(D77,Config!$B$7:$B$10,0)),0)</f>
        <v>5</v>
      </c>
      <c r="F77" s="48"/>
      <c r="G77" s="11"/>
      <c r="H77" s="48" t="str">
        <f t="shared" si="1"/>
        <v/>
      </c>
      <c r="I77" s="11"/>
      <c r="J77" s="48" t="str">
        <f t="shared" si="2"/>
        <v/>
      </c>
      <c r="K77" s="11"/>
      <c r="L77" s="48" t="str">
        <f t="shared" si="3"/>
        <v/>
      </c>
      <c r="M77" s="11"/>
      <c r="N77" s="48" t="str">
        <f t="shared" si="4"/>
        <v/>
      </c>
    </row>
    <row r="78" ht="25.5" customHeight="1">
      <c r="A78" s="37" t="s">
        <v>264</v>
      </c>
      <c r="B78" s="38" t="s">
        <v>260</v>
      </c>
      <c r="C78" s="38" t="s">
        <v>265</v>
      </c>
      <c r="D78" s="39" t="s">
        <v>16</v>
      </c>
      <c r="E78" s="48">
        <f t="array" ref="E78">IFERROR(INDEX(Config!$C$7:$C$10,MATCH(D78,Config!$B$7:$B$10,0)),0)</f>
        <v>5</v>
      </c>
      <c r="F78" s="48"/>
      <c r="G78" s="11"/>
      <c r="H78" s="48" t="str">
        <f t="shared" si="1"/>
        <v/>
      </c>
      <c r="I78" s="11"/>
      <c r="J78" s="48" t="str">
        <f t="shared" si="2"/>
        <v/>
      </c>
      <c r="K78" s="11"/>
      <c r="L78" s="48" t="str">
        <f t="shared" si="3"/>
        <v/>
      </c>
      <c r="M78" s="11"/>
      <c r="N78" s="48" t="str">
        <f t="shared" si="4"/>
        <v/>
      </c>
    </row>
    <row r="79" ht="25.5" customHeight="1">
      <c r="A79" s="37" t="s">
        <v>266</v>
      </c>
      <c r="B79" s="38" t="s">
        <v>260</v>
      </c>
      <c r="C79" s="38" t="s">
        <v>267</v>
      </c>
      <c r="D79" s="39" t="s">
        <v>16</v>
      </c>
      <c r="E79" s="48">
        <f t="array" ref="E79">IFERROR(INDEX(Config!$C$7:$C$10,MATCH(D79,Config!$B$7:$B$10,0)),0)</f>
        <v>5</v>
      </c>
      <c r="F79" s="48"/>
      <c r="G79" s="11"/>
      <c r="H79" s="48" t="str">
        <f t="shared" si="1"/>
        <v/>
      </c>
      <c r="I79" s="11"/>
      <c r="J79" s="48" t="str">
        <f t="shared" si="2"/>
        <v/>
      </c>
      <c r="K79" s="11"/>
      <c r="L79" s="48" t="str">
        <f t="shared" si="3"/>
        <v/>
      </c>
      <c r="M79" s="11"/>
      <c r="N79" s="48" t="str">
        <f t="shared" si="4"/>
        <v/>
      </c>
    </row>
    <row r="80" ht="25.5" customHeight="1">
      <c r="A80" s="37" t="s">
        <v>268</v>
      </c>
      <c r="B80" s="38" t="s">
        <v>260</v>
      </c>
      <c r="C80" s="38" t="s">
        <v>269</v>
      </c>
      <c r="D80" s="39" t="s">
        <v>16</v>
      </c>
      <c r="E80" s="48">
        <f t="array" ref="E80">IFERROR(INDEX(Config!$C$7:$C$10,MATCH(D80,Config!$B$7:$B$10,0)),0)</f>
        <v>5</v>
      </c>
      <c r="F80" s="48"/>
      <c r="G80" s="11"/>
      <c r="H80" s="48" t="str">
        <f t="shared" si="1"/>
        <v/>
      </c>
      <c r="I80" s="11"/>
      <c r="J80" s="48" t="str">
        <f t="shared" si="2"/>
        <v/>
      </c>
      <c r="K80" s="11"/>
      <c r="L80" s="48" t="str">
        <f t="shared" si="3"/>
        <v/>
      </c>
      <c r="M80" s="11"/>
      <c r="N80" s="48" t="str">
        <f t="shared" si="4"/>
        <v/>
      </c>
    </row>
    <row r="81" ht="25.5" customHeight="1">
      <c r="A81" s="37" t="s">
        <v>270</v>
      </c>
      <c r="B81" s="38" t="s">
        <v>260</v>
      </c>
      <c r="C81" s="38" t="s">
        <v>271</v>
      </c>
      <c r="D81" s="39" t="s">
        <v>25</v>
      </c>
      <c r="E81" s="48">
        <f t="array" ref="E81">IFERROR(INDEX(Config!$C$7:$C$10,MATCH(D81,Config!$B$7:$B$10,0)),0)</f>
        <v>3</v>
      </c>
      <c r="F81" s="48"/>
      <c r="G81" s="11"/>
      <c r="H81" s="48" t="str">
        <f t="shared" si="1"/>
        <v/>
      </c>
      <c r="I81" s="11"/>
      <c r="J81" s="48" t="str">
        <f t="shared" si="2"/>
        <v/>
      </c>
      <c r="K81" s="11"/>
      <c r="L81" s="48" t="str">
        <f t="shared" si="3"/>
        <v/>
      </c>
      <c r="M81" s="11"/>
      <c r="N81" s="48" t="str">
        <f t="shared" si="4"/>
        <v/>
      </c>
    </row>
    <row r="82" ht="25.5" customHeight="1">
      <c r="A82" s="37" t="s">
        <v>272</v>
      </c>
      <c r="B82" s="38" t="s">
        <v>273</v>
      </c>
      <c r="C82" s="38" t="s">
        <v>274</v>
      </c>
      <c r="D82" s="39" t="s">
        <v>16</v>
      </c>
      <c r="E82" s="48">
        <f t="array" ref="E82">IFERROR(INDEX(Config!$C$7:$C$10,MATCH(D82,Config!$B$7:$B$10,0)),0)</f>
        <v>5</v>
      </c>
      <c r="F82" s="48"/>
      <c r="G82" s="11"/>
      <c r="H82" s="48" t="str">
        <f t="shared" si="1"/>
        <v/>
      </c>
      <c r="I82" s="11"/>
      <c r="J82" s="48" t="str">
        <f t="shared" si="2"/>
        <v/>
      </c>
      <c r="K82" s="11"/>
      <c r="L82" s="48" t="str">
        <f t="shared" si="3"/>
        <v/>
      </c>
      <c r="M82" s="11"/>
      <c r="N82" s="48" t="str">
        <f t="shared" si="4"/>
        <v/>
      </c>
    </row>
    <row r="83" ht="25.5" customHeight="1">
      <c r="A83" s="37" t="s">
        <v>275</v>
      </c>
      <c r="B83" s="38" t="s">
        <v>273</v>
      </c>
      <c r="C83" s="38" t="s">
        <v>276</v>
      </c>
      <c r="D83" s="39" t="s">
        <v>16</v>
      </c>
      <c r="E83" s="48">
        <f t="array" ref="E83">IFERROR(INDEX(Config!$C$7:$C$10,MATCH(D83,Config!$B$7:$B$10,0)),0)</f>
        <v>5</v>
      </c>
      <c r="F83" s="48"/>
      <c r="G83" s="11"/>
      <c r="H83" s="48" t="str">
        <f t="shared" si="1"/>
        <v/>
      </c>
      <c r="I83" s="11"/>
      <c r="J83" s="48" t="str">
        <f t="shared" si="2"/>
        <v/>
      </c>
      <c r="K83" s="11"/>
      <c r="L83" s="48" t="str">
        <f t="shared" si="3"/>
        <v/>
      </c>
      <c r="M83" s="11"/>
      <c r="N83" s="48" t="str">
        <f t="shared" si="4"/>
        <v/>
      </c>
    </row>
    <row r="84" ht="25.5" customHeight="1">
      <c r="A84" s="37" t="s">
        <v>277</v>
      </c>
      <c r="B84" s="38" t="s">
        <v>273</v>
      </c>
      <c r="C84" s="38" t="s">
        <v>278</v>
      </c>
      <c r="D84" s="39" t="s">
        <v>16</v>
      </c>
      <c r="E84" s="48">
        <f t="array" ref="E84">IFERROR(INDEX(Config!$C$7:$C$10,MATCH(D84,Config!$B$7:$B$10,0)),0)</f>
        <v>5</v>
      </c>
      <c r="F84" s="48"/>
      <c r="G84" s="11"/>
      <c r="H84" s="48" t="str">
        <f t="shared" si="1"/>
        <v/>
      </c>
      <c r="I84" s="11"/>
      <c r="J84" s="48" t="str">
        <f t="shared" si="2"/>
        <v/>
      </c>
      <c r="K84" s="11"/>
      <c r="L84" s="48" t="str">
        <f t="shared" si="3"/>
        <v/>
      </c>
      <c r="M84" s="11"/>
      <c r="N84" s="48" t="str">
        <f t="shared" si="4"/>
        <v/>
      </c>
    </row>
    <row r="85" ht="25.5" customHeight="1">
      <c r="A85" s="50" t="s">
        <v>279</v>
      </c>
      <c r="B85" s="51" t="s">
        <v>273</v>
      </c>
      <c r="C85" s="51" t="s">
        <v>280</v>
      </c>
      <c r="D85" s="39" t="s">
        <v>16</v>
      </c>
      <c r="E85" s="48">
        <f t="array" ref="E85">IFERROR(INDEX(Config!$C$7:$C$10,MATCH(D85,Config!$B$7:$B$10,0)),0)</f>
        <v>5</v>
      </c>
      <c r="F85" s="48"/>
      <c r="G85" s="11"/>
      <c r="H85" s="48" t="str">
        <f t="shared" si="1"/>
        <v/>
      </c>
      <c r="I85" s="11"/>
      <c r="J85" s="48" t="str">
        <f t="shared" si="2"/>
        <v/>
      </c>
      <c r="K85" s="11"/>
      <c r="L85" s="48" t="str">
        <f t="shared" si="3"/>
        <v/>
      </c>
      <c r="M85" s="11"/>
      <c r="N85" s="48" t="str">
        <f t="shared" si="4"/>
        <v/>
      </c>
      <c r="O85" s="53" t="s">
        <v>101</v>
      </c>
      <c r="P85" s="53" t="s">
        <v>281</v>
      </c>
    </row>
    <row r="86" ht="25.5" customHeight="1">
      <c r="A86" s="37" t="s">
        <v>282</v>
      </c>
      <c r="B86" s="38" t="s">
        <v>273</v>
      </c>
      <c r="C86" s="38" t="s">
        <v>283</v>
      </c>
      <c r="D86" s="39" t="s">
        <v>16</v>
      </c>
      <c r="E86" s="48">
        <f t="array" ref="E86">IFERROR(INDEX(Config!$C$7:$C$10,MATCH(D86,Config!$B$7:$B$10,0)),0)</f>
        <v>5</v>
      </c>
      <c r="F86" s="48"/>
      <c r="G86" s="11"/>
      <c r="H86" s="48" t="str">
        <f t="shared" si="1"/>
        <v/>
      </c>
      <c r="I86" s="11"/>
      <c r="J86" s="48" t="str">
        <f t="shared" si="2"/>
        <v/>
      </c>
      <c r="K86" s="11"/>
      <c r="L86" s="48" t="str">
        <f t="shared" si="3"/>
        <v/>
      </c>
      <c r="M86" s="11"/>
      <c r="N86" s="48" t="str">
        <f t="shared" si="4"/>
        <v/>
      </c>
    </row>
    <row r="87" ht="25.5" customHeight="1">
      <c r="A87" s="37" t="s">
        <v>284</v>
      </c>
      <c r="B87" s="38" t="s">
        <v>273</v>
      </c>
      <c r="C87" s="38" t="s">
        <v>285</v>
      </c>
      <c r="D87" s="39" t="s">
        <v>27</v>
      </c>
      <c r="E87" s="48">
        <f t="array" ref="E87">IFERROR(INDEX(Config!$C$7:$C$10,MATCH(D87,Config!$B$7:$B$10,0)),0)</f>
        <v>1</v>
      </c>
      <c r="F87" s="48"/>
      <c r="G87" s="11"/>
      <c r="H87" s="48" t="str">
        <f t="shared" si="1"/>
        <v/>
      </c>
      <c r="I87" s="11"/>
      <c r="J87" s="48" t="str">
        <f t="shared" si="2"/>
        <v/>
      </c>
      <c r="K87" s="11"/>
      <c r="L87" s="48" t="str">
        <f t="shared" si="3"/>
        <v/>
      </c>
      <c r="M87" s="11"/>
      <c r="N87" s="48" t="str">
        <f t="shared" si="4"/>
        <v/>
      </c>
    </row>
    <row r="88" ht="14.25" customHeight="1">
      <c r="A88" s="56" t="s">
        <v>284</v>
      </c>
      <c r="B88" s="57" t="s">
        <v>286</v>
      </c>
      <c r="C88" s="57" t="s">
        <v>287</v>
      </c>
      <c r="D88" s="39" t="s">
        <v>16</v>
      </c>
      <c r="E88" s="48">
        <f t="array" ref="E88">IFERROR(INDEX(Config!$C$7:$C$10,MATCH(D88,Config!$B$7:$B$10,0)),0)</f>
        <v>5</v>
      </c>
      <c r="F88" s="48"/>
      <c r="G88" s="11"/>
      <c r="H88" s="48"/>
      <c r="I88" s="11"/>
      <c r="J88" s="48"/>
      <c r="K88" s="11"/>
      <c r="L88" s="48"/>
      <c r="M88" s="11"/>
      <c r="N88" s="48"/>
      <c r="O88" s="53" t="s">
        <v>184</v>
      </c>
      <c r="P88" s="53" t="s">
        <v>288</v>
      </c>
    </row>
    <row r="89" ht="61.5" customHeight="1">
      <c r="A89" s="37" t="s">
        <v>289</v>
      </c>
      <c r="B89" s="38" t="s">
        <v>290</v>
      </c>
      <c r="C89" s="38" t="s">
        <v>291</v>
      </c>
      <c r="D89" s="39" t="s">
        <v>27</v>
      </c>
      <c r="E89" s="48">
        <f t="array" ref="E89">IFERROR(INDEX(Config!$C$7:$C$10,MATCH(D89,Config!$B$7:$B$10,0)),0)</f>
        <v>1</v>
      </c>
      <c r="F89" s="48"/>
      <c r="G89" s="11"/>
      <c r="H89" s="48" t="str">
        <f t="shared" ref="H89:H90" si="5">IF(G89="","",$E89*G89)</f>
        <v/>
      </c>
      <c r="I89" s="11"/>
      <c r="J89" s="48" t="str">
        <f t="shared" ref="J89:J90" si="6">IF(I89="","",$E89*I89)</f>
        <v/>
      </c>
      <c r="K89" s="11"/>
      <c r="L89" s="48" t="str">
        <f t="shared" ref="L89:L90" si="7">IF(K89="","",$E89*K89)</f>
        <v/>
      </c>
      <c r="M89" s="11"/>
      <c r="N89" s="48" t="str">
        <f t="shared" ref="N89:N90" si="8">IF(M89="","",$E89*M89)</f>
        <v/>
      </c>
    </row>
    <row r="90" ht="61.5" customHeight="1">
      <c r="A90" s="37" t="s">
        <v>292</v>
      </c>
      <c r="B90" s="38" t="s">
        <v>290</v>
      </c>
      <c r="C90" s="38" t="s">
        <v>293</v>
      </c>
      <c r="D90" s="39" t="s">
        <v>27</v>
      </c>
      <c r="E90" s="48">
        <f t="array" ref="E90">IFERROR(INDEX(Config!$C$7:$C$10,MATCH(D90,Config!$B$7:$B$10,0)),0)</f>
        <v>1</v>
      </c>
      <c r="F90" s="48"/>
      <c r="G90" s="11"/>
      <c r="H90" s="48" t="str">
        <f t="shared" si="5"/>
        <v/>
      </c>
      <c r="I90" s="11"/>
      <c r="J90" s="48" t="str">
        <f t="shared" si="6"/>
        <v/>
      </c>
      <c r="K90" s="11"/>
      <c r="L90" s="48" t="str">
        <f t="shared" si="7"/>
        <v/>
      </c>
      <c r="M90" s="11"/>
      <c r="N90" s="48" t="str">
        <f t="shared" si="8"/>
        <v/>
      </c>
    </row>
    <row r="91" ht="14.25" customHeight="1">
      <c r="A91" s="37"/>
      <c r="B91" s="38"/>
      <c r="C91" s="38"/>
      <c r="D91" s="39"/>
      <c r="E91" s="48"/>
      <c r="F91" s="48"/>
      <c r="G91" s="11"/>
      <c r="H91" s="48"/>
      <c r="I91" s="11"/>
      <c r="J91" s="48"/>
      <c r="K91" s="11"/>
      <c r="L91" s="48"/>
      <c r="M91" s="11"/>
      <c r="N91" s="48"/>
    </row>
    <row r="92" ht="14.25" customHeight="1">
      <c r="A92" s="37"/>
      <c r="B92" s="38"/>
      <c r="C92" s="38"/>
      <c r="D92" s="39"/>
      <c r="E92" s="48"/>
      <c r="F92" s="48"/>
      <c r="G92" s="11"/>
      <c r="H92" s="48"/>
      <c r="I92" s="11"/>
      <c r="J92" s="48"/>
      <c r="K92" s="11"/>
      <c r="L92" s="48"/>
      <c r="M92" s="11"/>
      <c r="N92" s="48"/>
    </row>
    <row r="93" ht="14.25" customHeight="1">
      <c r="A93" s="37"/>
      <c r="B93" s="38"/>
      <c r="C93" s="38"/>
      <c r="D93" s="39"/>
      <c r="E93" s="48"/>
      <c r="F93" s="48"/>
      <c r="G93" s="11"/>
      <c r="H93" s="48"/>
      <c r="I93" s="11"/>
      <c r="J93" s="48"/>
      <c r="K93" s="11"/>
      <c r="L93" s="48"/>
      <c r="M93" s="11"/>
      <c r="N93" s="48"/>
    </row>
    <row r="94" ht="91.5" customHeight="1"/>
    <row r="95" ht="91.5" customHeight="1">
      <c r="A95" s="60" t="s">
        <v>294</v>
      </c>
      <c r="B95" s="61"/>
      <c r="C95" s="61"/>
      <c r="D95" s="61"/>
      <c r="E95" s="62"/>
      <c r="G95" s="63">
        <f>SUM(H6:H93)</f>
        <v>120</v>
      </c>
      <c r="I95" s="63">
        <f>SUM(J6:J93)</f>
        <v>105</v>
      </c>
      <c r="K95" s="63">
        <f>SUM(L6:L93)</f>
        <v>110</v>
      </c>
      <c r="M95" s="63">
        <f>SUM(N6:N93)</f>
        <v>95</v>
      </c>
    </row>
    <row r="96" ht="91.5" customHeight="1">
      <c r="A96" s="64" t="s">
        <v>295</v>
      </c>
      <c r="B96" s="61"/>
      <c r="C96" s="61"/>
      <c r="D96" s="61"/>
      <c r="E96" s="62"/>
      <c r="G96" s="65">
        <f>SUMPRODUCT($E6:$E93,--ISNUMBER(G6:G93))*5</f>
        <v>150</v>
      </c>
      <c r="I96" s="65">
        <f>SUMPRODUCT($E6:$E93,--ISNUMBER(I6:I93))*5</f>
        <v>150</v>
      </c>
      <c r="K96" s="65">
        <f>SUMPRODUCT($E6:$E93,--ISNUMBER(K6:K93))*5</f>
        <v>150</v>
      </c>
      <c r="M96" s="65">
        <f>SUMPRODUCT($E6:$E93,--ISNUMBER(M6:M93))*5</f>
        <v>150</v>
      </c>
    </row>
    <row r="97" ht="91.5" customHeight="1">
      <c r="A97" s="66" t="s">
        <v>296</v>
      </c>
      <c r="B97" s="61"/>
      <c r="C97" s="61"/>
      <c r="D97" s="61"/>
      <c r="E97" s="62"/>
      <c r="G97" s="67">
        <f>IFERROR(G95/G96,0)</f>
        <v>0.8</v>
      </c>
      <c r="I97" s="67">
        <f>IFERROR(I95/I96,0)</f>
        <v>0.7</v>
      </c>
      <c r="K97" s="67">
        <f>IFERROR(K95/K96,0)</f>
        <v>0.7333333333</v>
      </c>
      <c r="M97" s="67">
        <f>IFERROR(M95/M96,0)</f>
        <v>0.6333333333</v>
      </c>
    </row>
    <row r="98" ht="91.5" customHeight="1">
      <c r="A98" s="68" t="s">
        <v>297</v>
      </c>
      <c r="B98" s="61"/>
      <c r="C98" s="61"/>
      <c r="D98" s="61"/>
      <c r="E98" s="62"/>
      <c r="G98" s="69" t="str">
        <f>IF(SUMPRODUCT(($D6:$D93="Must")*ISNUMBER(G6:G93)*(G6:G93&lt;Config!$D$13))&gt;0,"FAIL","PASS")</f>
        <v>PASS</v>
      </c>
      <c r="I98" s="69" t="str">
        <f>IF(SUMPRODUCT(($D6:$D93="Must")*ISNUMBER(I6:I93)*(I6:I93&lt;Config!$D$13))&gt;0,"FAIL","PASS")</f>
        <v>FAIL</v>
      </c>
      <c r="K98" s="69" t="str">
        <f>IF(SUMPRODUCT(($D6:$D93="Must")*ISNUMBER(K6:K93)*(K6:K93&lt;Config!$D$13))&gt;0,"FAIL","PASS")</f>
        <v>FAIL</v>
      </c>
      <c r="M98" s="69" t="str">
        <f>IF(SUMPRODUCT(($D6:$D93="Must")*ISNUMBER(M6:M93)*(M6:M93&lt;Config!$D$13))&gt;0,"FAIL","PASS")</f>
        <v>FAIL</v>
      </c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I95:J95"/>
    <mergeCell ref="K95:L95"/>
    <mergeCell ref="A4:E4"/>
    <mergeCell ref="G4:H4"/>
    <mergeCell ref="I4:J4"/>
    <mergeCell ref="K4:L4"/>
    <mergeCell ref="M4:N4"/>
    <mergeCell ref="G95:H95"/>
    <mergeCell ref="M95:N95"/>
    <mergeCell ref="G97:H97"/>
    <mergeCell ref="I97:J97"/>
    <mergeCell ref="K97:L97"/>
    <mergeCell ref="M97:N97"/>
    <mergeCell ref="A98:E98"/>
    <mergeCell ref="G98:H98"/>
    <mergeCell ref="I98:J98"/>
    <mergeCell ref="K98:L98"/>
    <mergeCell ref="M98:N98"/>
    <mergeCell ref="A95:E95"/>
    <mergeCell ref="A96:E96"/>
    <mergeCell ref="G96:H96"/>
    <mergeCell ref="I96:J96"/>
    <mergeCell ref="K96:L96"/>
    <mergeCell ref="M96:N96"/>
    <mergeCell ref="A97:E97"/>
  </mergeCells>
  <conditionalFormatting sqref="G98:N98">
    <cfRule type="cellIs" dxfId="0" priority="1" operator="equal">
      <formula>"FAIL"</formula>
    </cfRule>
  </conditionalFormatting>
  <conditionalFormatting sqref="G98:N98">
    <cfRule type="cellIs" dxfId="1" priority="2" operator="equal">
      <formula>"PASS"</formula>
    </cfRule>
  </conditionalFormatting>
  <dataValidations>
    <dataValidation type="list" allowBlank="1" sqref="D6:D93">
      <formula1>"Must,Should,Could,Won't"</formula1>
    </dataValidation>
    <dataValidation type="list" allowBlank="1" sqref="G6:G93 I6:I93 K6:K93 M6:M93">
      <formula1>"0,1,2,3,4,5"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22.0"/>
    <col customWidth="1" min="4" max="5" width="16.0"/>
    <col customWidth="1" min="6" max="7" width="14.0"/>
    <col customWidth="1" min="8" max="8" width="16.0"/>
    <col customWidth="1" min="9" max="26" width="8.71"/>
  </cols>
  <sheetData>
    <row r="1" ht="14.25" customHeight="1"/>
    <row r="2" ht="27.0" customHeight="1">
      <c r="B2" s="2" t="s">
        <v>6</v>
      </c>
    </row>
    <row r="3" ht="15.0" customHeight="1">
      <c r="B3" s="4" t="s">
        <v>10</v>
      </c>
    </row>
    <row r="4" ht="14.25" customHeight="1"/>
    <row r="5" ht="24.0" customHeight="1">
      <c r="B5" s="7" t="s">
        <v>11</v>
      </c>
      <c r="C5" s="7" t="s">
        <v>13</v>
      </c>
      <c r="D5" s="7" t="s">
        <v>15</v>
      </c>
      <c r="E5" s="7" t="s">
        <v>17</v>
      </c>
      <c r="F5" s="7" t="s">
        <v>18</v>
      </c>
      <c r="G5" s="7" t="s">
        <v>20</v>
      </c>
      <c r="H5" s="7" t="s">
        <v>21</v>
      </c>
    </row>
    <row r="6" ht="21.75" customHeight="1">
      <c r="B6" s="22">
        <f t="shared" ref="B6:B9" si="1">IF(E6=0,"",RANK(F6,$F$6:$F$9,0))</f>
        <v>1</v>
      </c>
      <c r="C6" s="27" t="str">
        <f>Assessment!G4</f>
        <v>Vendor A</v>
      </c>
      <c r="D6" s="29">
        <f>Assessment!G95</f>
        <v>120</v>
      </c>
      <c r="E6" s="31">
        <f>Assessment!G96</f>
        <v>150</v>
      </c>
      <c r="F6" s="32">
        <f>Assessment!G97</f>
        <v>0.8</v>
      </c>
      <c r="G6" s="35" t="str">
        <f>Assessment!G98</f>
        <v>PASS</v>
      </c>
      <c r="H6" s="29" t="str">
        <f t="shared" ref="H6:H9" si="2">IF(E6=0,"Not scored",IF(G6="FAIL","Excluded - fails a Must",IF(B6=1,"Preferred","Consider")))</f>
        <v>Preferred</v>
      </c>
    </row>
    <row r="7" ht="21.75" customHeight="1">
      <c r="B7" s="40">
        <f t="shared" si="1"/>
        <v>3</v>
      </c>
      <c r="C7" s="41" t="str">
        <f>Assessment!I4</f>
        <v>Vendor B</v>
      </c>
      <c r="D7" s="42">
        <f>Assessment!I95</f>
        <v>105</v>
      </c>
      <c r="E7" s="44">
        <f>Assessment!I96</f>
        <v>150</v>
      </c>
      <c r="F7" s="45">
        <f>Assessment!I97</f>
        <v>0.7</v>
      </c>
      <c r="G7" s="46" t="str">
        <f>Assessment!I98</f>
        <v>FAIL</v>
      </c>
      <c r="H7" s="42" t="str">
        <f t="shared" si="2"/>
        <v>Excluded - fails a Must</v>
      </c>
    </row>
    <row r="8" ht="21.75" customHeight="1">
      <c r="B8" s="22">
        <f t="shared" si="1"/>
        <v>2</v>
      </c>
      <c r="C8" s="27" t="str">
        <f>Assessment!K4</f>
        <v>Vendor C</v>
      </c>
      <c r="D8" s="29">
        <f>Assessment!K95</f>
        <v>110</v>
      </c>
      <c r="E8" s="31">
        <f>Assessment!K96</f>
        <v>150</v>
      </c>
      <c r="F8" s="32">
        <f>Assessment!K97</f>
        <v>0.7333333333</v>
      </c>
      <c r="G8" s="35" t="str">
        <f>Assessment!K98</f>
        <v>FAIL</v>
      </c>
      <c r="H8" s="29" t="str">
        <f t="shared" si="2"/>
        <v>Excluded - fails a Must</v>
      </c>
    </row>
    <row r="9" ht="21.75" customHeight="1">
      <c r="B9" s="40">
        <f t="shared" si="1"/>
        <v>4</v>
      </c>
      <c r="C9" s="41" t="str">
        <f>Assessment!M4</f>
        <v>Vendor D</v>
      </c>
      <c r="D9" s="42">
        <f>Assessment!M95</f>
        <v>95</v>
      </c>
      <c r="E9" s="44">
        <f>Assessment!M96</f>
        <v>150</v>
      </c>
      <c r="F9" s="45">
        <f>Assessment!M97</f>
        <v>0.6333333333</v>
      </c>
      <c r="G9" s="46" t="str">
        <f>Assessment!M98</f>
        <v>FAIL</v>
      </c>
      <c r="H9" s="42" t="str">
        <f t="shared" si="2"/>
        <v>Excluded - fails a Must</v>
      </c>
    </row>
    <row r="10" ht="14.25" customHeight="1"/>
    <row r="11" ht="18.75" customHeight="1">
      <c r="B11" s="47" t="s">
        <v>85</v>
      </c>
    </row>
    <row r="12" ht="25.5" customHeight="1">
      <c r="B12" s="49" t="s">
        <v>86</v>
      </c>
    </row>
    <row r="13" ht="25.5" customHeight="1">
      <c r="B13" s="49" t="s">
        <v>87</v>
      </c>
    </row>
    <row r="14" ht="25.5" customHeight="1">
      <c r="B14" s="49" t="s">
        <v>88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2:H12"/>
    <mergeCell ref="B13:H13"/>
    <mergeCell ref="B14:H14"/>
  </mergeCells>
  <conditionalFormatting sqref="G6:G9">
    <cfRule type="cellIs" dxfId="0" priority="1" operator="equal">
      <formula>"FAIL"</formula>
    </cfRule>
  </conditionalFormatting>
  <conditionalFormatting sqref="G6:G9">
    <cfRule type="cellIs" dxfId="1" priority="2" operator="equal">
      <formula>"PASS"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2026-09-02T07:56:59Z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6f5ed9-f941-4508-97a0-0adf4320acbd_ActionId">
    <vt:lpwstr>662c3c7c-7103-4dc4-8d79-f3c06b5e3793</vt:lpwstr>
  </property>
  <property fmtid="{D5CDD505-2E9C-101B-9397-08002B2CF9AE}" pid="3" name="MSIP_Label_446f5ed9-f941-4508-97a0-0adf4320acbd_ContentBits">
    <vt:lpwstr>0</vt:lpwstr>
  </property>
  <property fmtid="{D5CDD505-2E9C-101B-9397-08002B2CF9AE}" pid="4" name="MSIP_Label_446f5ed9-f941-4508-97a0-0adf4320acbd_Enabled">
    <vt:lpwstr>true</vt:lpwstr>
  </property>
  <property fmtid="{D5CDD505-2E9C-101B-9397-08002B2CF9AE}" pid="5" name="MSIP_Label_446f5ed9-f941-4508-97a0-0adf4320acbd_Method">
    <vt:lpwstr>Standard</vt:lpwstr>
  </property>
  <property fmtid="{D5CDD505-2E9C-101B-9397-08002B2CF9AE}" pid="6" name="MSIP_Label_446f5ed9-f941-4508-97a0-0adf4320acbd_Name">
    <vt:lpwstr>General</vt:lpwstr>
  </property>
  <property fmtid="{D5CDD505-2E9C-101B-9397-08002B2CF9AE}" pid="7" name="MSIP_Label_446f5ed9-f941-4508-97a0-0adf4320acbd_SetDate">
    <vt:lpwstr>2026-09-14T13:33:19Z</vt:lpwstr>
  </property>
  <property fmtid="{D5CDD505-2E9C-101B-9397-08002B2CF9AE}" pid="8" name="MSIP_Label_446f5ed9-f941-4508-97a0-0adf4320acbd_SiteId">
    <vt:lpwstr>29d4f8a4-6bc4-4032-b2c1-5ed82e97e377</vt:lpwstr>
  </property>
  <property fmtid="{D5CDD505-2E9C-101B-9397-08002B2CF9AE}" pid="9" name="MSIP_Label_446f5ed9-f941-4508-97a0-0adf4320acbd_Tag">
    <vt:lpwstr>10, 3, 0, 2</vt:lpwstr>
  </property>
</Properties>
</file>