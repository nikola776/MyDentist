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Config" sheetId="2" state="visible" r:id="rId4"/>
    <sheet name="Assessment" sheetId="3" state="visible" r:id="rId5"/>
    <sheet name="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======
ID#AAACHvCnX1k
Unknown Author    (2026-09-30 09:57:27)
Vendors scoring below this on any Must-have are gated out on the Results tab.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7" authorId="0">
      <text>
        <r>
          <rPr>
            <sz val="10"/>
            <rFont val="Arial"/>
            <family val="2"/>
          </rPr>
          <t xml:space="preserve">======
ID#AAACHvCnX1c
Unknown Author    (2026-09-30 09:57:27)
[Threaded comment]
Your version of Excel allows you to read this threaded comment; however, any edits to it will get removed if the file is opened in a newer version of Excel. Learn more: https://go.microsoft.com/fwlink/?linkid=870924
Comment:
    is this R4? Added R4 at the bottom incase something else was meant by this</t>
        </r>
      </text>
    </comment>
    <comment ref="C49" authorId="0">
      <text>
        <r>
          <rPr>
            <sz val="10"/>
            <rFont val="Arial"/>
            <family val="2"/>
          </rPr>
          <t xml:space="preserve">======
ID#AAACHvCnX1g
Unknown Author    (2026-09-30 09:57:27)
[Threaded comment]
Your version of Excel allows you to read this threaded comment; however, any edits to it will get removed if the file is opened in a newer version of Excel. Learn more: https://go.microsoft.com/fwlink/?linkid=870924
Comment:
    assume again R4?</t>
        </r>
      </text>
    </comment>
    <comment ref="G4" authorId="0">
      <text>
        <r>
          <rPr>
            <sz val="10"/>
            <rFont val="Arial"/>
            <family val="2"/>
          </rPr>
          <t xml:space="preserve">Provisional desk-research scores, 2026-10-01. Not vendor-confirmed.
Assumes Enterprise + EU data residency + Zero Retention Mode.
Blank = out of scope, met by the PBX / our layer, or needs a vendor statement.
Basis per row in column Q; detail in ElevenLabs/capabilities.md.</t>
        </r>
      </text>
    </comment>
  </commentList>
</comments>
</file>

<file path=xl/sharedStrings.xml><?xml version="1.0" encoding="utf-8"?>
<sst xmlns="http://schemas.openxmlformats.org/spreadsheetml/2006/main" count="569" uniqueCount="379">
  <si>
    <t xml:space="preserve">RFP Vendor Assessment</t>
  </si>
  <si>
    <t xml:space="preserve">MoSCoW-weighted scoring model</t>
  </si>
  <si>
    <t xml:space="preserve">How it works</t>
  </si>
  <si>
    <t xml:space="preserve">1. Set your criteria</t>
  </si>
  <si>
    <t xml:space="preserve">On the 'Assessment' tab, list every requirement from your RFP. Group them with a Category if useful.</t>
  </si>
  <si>
    <t xml:space="preserve">2. Assign MoSCoW</t>
  </si>
  <si>
    <t xml:space="preserve">For each requirement pick a priority from the dropdown: Must, Should, Could, or Won't. This drives the weight automatically.</t>
  </si>
  <si>
    <t xml:space="preserve">3. Score each vendor</t>
  </si>
  <si>
    <t xml:space="preserve">Rate every vendor 0-5 against each requirement using the dropdown. The rating scale is on the 'Config' tab.</t>
  </si>
  <si>
    <t xml:space="preserve">4. Read the result</t>
  </si>
  <si>
    <t xml:space="preserve">The 'Results' tab ranks vendors by weighted score (%), and flags any vendor that fails a Must-have.</t>
  </si>
  <si>
    <t xml:space="preserve">The maths</t>
  </si>
  <si>
    <t xml:space="preserve">Weight</t>
  </si>
  <si>
    <t xml:space="preserve">Each MoSCoW level maps to a weight (Config tab, editable). Default: Must=5, Should=3, Could=1, Won't=0.</t>
  </si>
  <si>
    <t xml:space="preserve">Weighted score</t>
  </si>
  <si>
    <t xml:space="preserve">For each requirement: Weight x Vendor score (0-5). Shown per vendor on the Assessment tab.</t>
  </si>
  <si>
    <t xml:space="preserve">Total &amp; %</t>
  </si>
  <si>
    <t xml:space="preserve">A vendor's total is the sum of its weighted scores. The % is total / maximum possible (every weight scored 5).</t>
  </si>
  <si>
    <t xml:space="preserve">Must-have gate</t>
  </si>
  <si>
    <t xml:space="preserve">Any Must scored below the pass threshold (Config, default 3) fails the vendor regardless of overall %. This is the RFP shortlist gate.</t>
  </si>
  <si>
    <t xml:space="preserve">Colour key</t>
  </si>
  <si>
    <t xml:space="preserve">Yellow cells</t>
  </si>
  <si>
    <t xml:space="preserve">You edit these (criteria text, MoSCoW level, vendor scores, vendor names).</t>
  </si>
  <si>
    <t xml:space="preserve">White/grey cells</t>
  </si>
  <si>
    <t xml:space="preserve">Calculated for you. Leave them alone.</t>
  </si>
  <si>
    <t xml:space="preserve">Config tab</t>
  </si>
  <si>
    <t xml:space="preserve">Change the MoSCoW weights, rating-scale labels, or the Must-have pass threshold here. Everything recalculates.</t>
  </si>
  <si>
    <t xml:space="preserve">Configuration</t>
  </si>
  <si>
    <t xml:space="preserve">Edit the yellow cells to retune the model. Everything else follows.</t>
  </si>
  <si>
    <t xml:space="preserve">MoSCoW weighting</t>
  </si>
  <si>
    <t xml:space="preserve">MoSCoW level</t>
  </si>
  <si>
    <t xml:space="preserve">Meaning</t>
  </si>
  <si>
    <t xml:space="preserve">Must</t>
  </si>
  <si>
    <t xml:space="preserve">Mandatory. Non-negotiable requirement; failing it should disqualify a vendor.</t>
  </si>
  <si>
    <t xml:space="preserve">Should</t>
  </si>
  <si>
    <t xml:space="preserve">High priority. Important but not vital; a workaround may exist.</t>
  </si>
  <si>
    <t xml:space="preserve">Could</t>
  </si>
  <si>
    <t xml:space="preserve">Desirable. Nice to have if it does not affect cost or timeline much.</t>
  </si>
  <si>
    <t xml:space="preserve">Won't</t>
  </si>
  <si>
    <t xml:space="preserve">Out of scope for now. Recorded but scores nothing.</t>
  </si>
  <si>
    <t xml:space="preserve">Must-have pass threshold</t>
  </si>
  <si>
    <t xml:space="preserve">Minimum score (0-5) a vendor must reach on every Must-have requirement:</t>
  </si>
  <si>
    <t xml:space="preserve">Rating scale (how well a vendor meets a requirement)</t>
  </si>
  <si>
    <t xml:space="preserve">Score</t>
  </si>
  <si>
    <t xml:space="preserve">Label</t>
  </si>
  <si>
    <t xml:space="preserve">Guidance</t>
  </si>
  <si>
    <t xml:space="preserve">Excellent</t>
  </si>
  <si>
    <t xml:space="preserve">Fully meets and exceeds the requirement; best in class.</t>
  </si>
  <si>
    <t xml:space="preserve">Good</t>
  </si>
  <si>
    <t xml:space="preserve">Fully meets the requirement out of the box.</t>
  </si>
  <si>
    <t xml:space="preserve">Adequate</t>
  </si>
  <si>
    <t xml:space="preserve">Meets the requirement with minor gaps or config.</t>
  </si>
  <si>
    <t xml:space="preserve">Partial</t>
  </si>
  <si>
    <t xml:space="preserve">Partially meets; notable gaps or customisation needed.</t>
  </si>
  <si>
    <t xml:space="preserve">Poor</t>
  </si>
  <si>
    <t xml:space="preserve">Barely addresses the requirement; heavy workaround.</t>
  </si>
  <si>
    <t xml:space="preserve">Not met</t>
  </si>
  <si>
    <t xml:space="preserve">Does not meet the requirement at all.</t>
  </si>
  <si>
    <t xml:space="preserve">Vendor Assessment</t>
  </si>
  <si>
    <t xml:space="preserve">Yellow = you edit. Pick MoSCoW and score each vendor 0-5. Weight and weighted scores are automatic.</t>
  </si>
  <si>
    <t xml:space="preserve">Enter vendor names &gt;&gt;</t>
  </si>
  <si>
    <t xml:space="preserve">ElevenLabs</t>
  </si>
  <si>
    <t xml:space="preserve">Vendor B</t>
  </si>
  <si>
    <t xml:space="preserve">Vendor C</t>
  </si>
  <si>
    <t xml:space="preserve">Vendor D</t>
  </si>
  <si>
    <t xml:space="preserve">VegaIT layer</t>
  </si>
  <si>
    <t xml:space="preserve">Why this is marked</t>
  </si>
  <si>
    <t xml:space="preserve">ElevenLabs basis (desk, 2026-10-01)</t>
  </si>
  <si>
    <t xml:space="preserve">ID</t>
  </si>
  <si>
    <t xml:space="preserve">Category</t>
  </si>
  <si>
    <t xml:space="preserve">Requirement</t>
  </si>
  <si>
    <t xml:space="preserve">MoSCoW</t>
  </si>
  <si>
    <t xml:space="preserve">Weighted</t>
  </si>
  <si>
    <t xml:space="preserve">TEL-01</t>
  </si>
  <si>
    <t xml:space="preserve">Telephony &amp; call routing</t>
  </si>
  <si>
    <t xml:space="preserve">Integrates with the existing phone systems (multiple Mitel products supported by Maintel)</t>
  </si>
  <si>
    <t xml:space="preserve">Config. Generic SIP trunk over TLS/SRTP; trunk must offer G.711 or G.722 (no other codec listed). Mitel not on ElevenLabs' compatibility list; interop is a live-test item.</t>
  </si>
  <si>
    <t xml:space="preserve">TEL-02</t>
  </si>
  <si>
    <t xml:space="preserve">Can operate as the primary phone answering system, or pick up calls on configurable thresholds (e.g. rings, queue time, out of hours)</t>
  </si>
  <si>
    <t xml:space="preserve">Not scored: met by the PBX / our layer. Proposed Out of scope. Ring-count, queue-time and out-of-hours diversion live in Mitel; ElevenLabs answers whatever reaches it.</t>
  </si>
  <si>
    <t xml:space="preserve">TEL-03</t>
  </si>
  <si>
    <t xml:space="preserve">Queue management and routing for calls not handled by the AI</t>
  </si>
  <si>
    <t xml:space="preserve">Not scored: met by the PBX / our layer. Proposed Out of scope. ElevenLabs queues only for AI capacity. Human queues/ACD stay in Mitel; AI reaches them by REFER.</t>
  </si>
  <si>
    <t xml:space="preserve">TEL-04</t>
  </si>
  <si>
    <t xml:space="preserve">Outbound calls and cold calling capability</t>
  </si>
  <si>
    <t xml:space="preserve">Native outbound API over SIP. Batch calling is unavailable under ZRM, so campaigns are API-driven by us. UK PECR is ours.</t>
  </si>
  <si>
    <t xml:space="preserve">TEL-05</t>
  </si>
  <si>
    <t xml:space="preserve">Handles peak concurrent call volumes across all practices and support centres without degradation; vendor states capacity limits</t>
  </si>
  <si>
    <t xml:space="preserve">Enterprise concurrency is custom (self-serve caps at 40). Burst runs at 2x price and is deprioritised with higher latency.</t>
  </si>
  <si>
    <t xml:space="preserve">TEL-06</t>
  </si>
  <si>
    <t xml:space="preserve">Central administration of per-practice configuration (numbers, opening hours, services, journeys) without per-site vendor work</t>
  </si>
  <si>
    <t xml:space="preserve">Full API/CLI for agents, numbers, branches, env vars; per-practice config via our initiation webhook. No multi-site admin UI.</t>
  </si>
  <si>
    <t xml:space="preserve">TEL-07</t>
  </si>
  <si>
    <t xml:space="preserve">Out-of-hours and overflow handling with configurable schedules per practice</t>
  </si>
  <si>
    <t xml:space="preserve">Not scored: met by the PBX / our layer. Proposed Out of scope. No schedule object. Mitel diverts on schedule; per-practice hours logic sits in our initiation webhook.</t>
  </si>
  <si>
    <t xml:space="preserve">TEL-08</t>
  </si>
  <si>
    <t xml:space="preserve">Call recording with configurable retention, retrievable per call</t>
  </si>
  <si>
    <t xml:space="preserve">Gate</t>
  </si>
  <si>
    <t xml:space="preserve">Recording either exists with retrievable retention or it does not, and its absence blocks the consent and audit design.</t>
  </si>
  <si>
    <t xml:space="preserve">Under ZRM ElevenLabs stores nothing: recording reaches us only via the post_call_audio webhook, which is never retried, and its availability under ZRM is unconfirmed. Retention/retrieval becomes ours.</t>
  </si>
  <si>
    <t xml:space="preserve">TEL-09</t>
  </si>
  <si>
    <t xml:space="preserve">Keypad (DTMF) fallback for callers who cannot or will not speak to the AI</t>
  </si>
  <si>
    <t xml:space="preserve">Native DTMF input (Aug 2026): # terminator, timeout, redaction. Out-of-band only; no IVR menu builder.</t>
  </si>
  <si>
    <t xml:space="preserve">CNV-01</t>
  </si>
  <si>
    <t xml:space="preserve">Conversation &amp; voice experience</t>
  </si>
  <si>
    <t xml:space="preserve">Low latency so the conversation feels as natural as possible</t>
  </si>
  <si>
    <t xml:space="preserve">Low-latency models (v4 Turbo ~150ms first speech, Flash ~75ms, Scribe RT ~150ms). No end-to-end figure published; confirm in live test.</t>
  </si>
  <si>
    <t xml:space="preserve">CNV-02</t>
  </si>
  <si>
    <t xml:space="preserve">Conversational responsiveness: adjusts speed and tone of voice to match the caller</t>
  </si>
  <si>
    <t xml:space="preserve">Partial. Tone adapts in expressive mode; speed is a static setting and may not apply on v4.</t>
  </si>
  <si>
    <t xml:space="preserve">CNV-03</t>
  </si>
  <si>
    <t xml:space="preserve">Multi-language support (Welsh and English)</t>
  </si>
  <si>
    <t xml:space="preserve">Welsh supported on v4/v4 Turbo/v3 TTS (not Flash). Welsh STT 10-20% WER vs &lt;=5% English. No intra-sentence code-switching. Live-test item.</t>
  </si>
  <si>
    <t xml:space="preserve">CNV-04</t>
  </si>
  <si>
    <t xml:space="preserve">Multi-language support (other languages)</t>
  </si>
  <si>
    <t xml:space="preserve">72 agent languages with per-language voice, model and first message.</t>
  </si>
  <si>
    <t xml:space="preserve">CNV-05</t>
  </si>
  <si>
    <t xml:space="preserve">Ability to change voice (male / female)</t>
  </si>
  <si>
    <t xml:space="preserve">Voice settable per agent, per language or per call.</t>
  </si>
  <si>
    <t xml:space="preserve">CNV-06</t>
  </si>
  <si>
    <t xml:space="preserve">Multiple regional accents</t>
  </si>
  <si>
    <t xml:space="preserve">British, RP, Cockney, Geordie, Scouse, Yorkshire, Welsh, Scottish, Irish accents. No Brummie, Mancunian, West Country or NI tags.</t>
  </si>
  <si>
    <t xml:space="preserve">CNV-07</t>
  </si>
  <si>
    <t xml:space="preserve">Ability to change the accent based on the CLI or ID verification</t>
  </si>
  <si>
    <t xml:space="preserve">Initiation webhook can override voice/language from caller ID; the mapping logic is ours.</t>
  </si>
  <si>
    <t xml:space="preserve">CNV-08</t>
  </si>
  <si>
    <t xml:space="preserve">Discloses to the caller at the start of the call that they are speaking to an AI, and how to reach a person</t>
  </si>
  <si>
    <t xml:space="preserve">Either the agent discloses that it is AI or it does not. A partial disclosure has no meaning.</t>
  </si>
  <si>
    <t xml:space="preserve">Fixed first message with interruptions disabled; ElevenLabs' own terms require AI disclosure.</t>
  </si>
  <si>
    <t xml:space="preserve">CNV-09</t>
  </si>
  <si>
    <t xml:space="preserve">Handles interruptions (barge-in), pauses and background noise without losing the thread</t>
  </si>
  <si>
    <t xml:space="preserve">Native barge-in, tone-aware turn model, spelling patience. No agent-level noise suppression; background noise is a live-test item.</t>
  </si>
  <si>
    <t xml:space="preserve">CNV-10</t>
  </si>
  <si>
    <t xml:space="preserve">Recognises when it has not understood and re-prompts or hands off rather than guessing</t>
  </si>
  <si>
    <t xml:space="preserve">Prompt/workflow driven. No STT confidence reaches the LLM, so read-back confirmation is required.</t>
  </si>
  <si>
    <t xml:space="preserve">IDV-01</t>
  </si>
  <si>
    <t xml:space="preserve">Caller identification &amp; verification</t>
  </si>
  <si>
    <t xml:space="preserve">ID verification: takes call data that identifies the individual and matches it to our patient record</t>
  </si>
  <si>
    <t xml:space="preserve">Out of scope</t>
  </si>
  <si>
    <t xml:space="preserve">Matching a caller to the patient record happens in our identity resolution service against the CDP, not in the voice runtime.</t>
  </si>
  <si>
    <t xml:space="preserve">Out of scope (VegaIT): not scored.</t>
  </si>
  <si>
    <t xml:space="preserve">IDV-02</t>
  </si>
  <si>
    <t xml:space="preserve">Records CLI and uses it as a seed for ID verification</t>
  </si>
  <si>
    <t xml:space="preserve">Caller ID in the initiation webhook and as a system variable. Withheld-number format undocumented.</t>
  </si>
  <si>
    <t xml:space="preserve">IDV-03</t>
  </si>
  <si>
    <t xml:space="preserve">Integrates with our ID verification pathway</t>
  </si>
  <si>
    <t xml:space="preserve">Our ID verification pathway is orchestration layer logic, so every vendor would score identically.</t>
  </si>
  <si>
    <t xml:space="preserve">IDV-04</t>
  </si>
  <si>
    <t xml:space="preserve">Identifies and distinguishes between patients and other services that interact with practices or our support centres (e.g. clinicians, labs)</t>
  </si>
  <si>
    <t xml:space="preserve">Split</t>
  </si>
  <si>
    <t xml:space="preserve">Conversational classification of caller type is a vendor capability, but matching to records is ours. Split before scoring.</t>
  </si>
  <si>
    <t xml:space="preserve">Vendor half only: LLM caller-type classification via prompt/workflow edges, captured as a data-collection field.</t>
  </si>
  <si>
    <t xml:space="preserve">IDV-05</t>
  </si>
  <si>
    <t xml:space="preserve">Asks the caller whether they have any specific requirements and records the answer to other systems</t>
  </si>
  <si>
    <t xml:space="preserve">Procedure 'Ask' step plus webhook tool to our API; data-collection field in the post-call payload.</t>
  </si>
  <si>
    <t xml:space="preserve">IDV-06</t>
  </si>
  <si>
    <t xml:space="preserve">Handles third-party callers (parent/guardian, carer, someone calling on behalf of a patient) with appropriate authority checks</t>
  </si>
  <si>
    <t xml:space="preserve">Handling a third party caller conversationally is vendor work, but the authority check against the record is ours.</t>
  </si>
  <si>
    <t xml:space="preserve">Vendor half only: conversational third-party handling via workflow branches. Authority check is ours.</t>
  </si>
  <si>
    <t xml:space="preserve">IDV-07</t>
  </si>
  <si>
    <t xml:space="preserve">Verification strength is configurable by transaction type (e.g. booking vs. discussing appointment detail vs. payment)</t>
  </si>
  <si>
    <t xml:space="preserve">Workflow expression edges on a verification level returned by our tool; the policy is ours.</t>
  </si>
  <si>
    <t xml:space="preserve">JRN-01</t>
  </si>
  <si>
    <t xml:space="preserve">Journey design &amp; workflow orchestration</t>
  </si>
  <si>
    <t xml:space="preserve">Configurable and responsive customer journey through the call interaction</t>
  </si>
  <si>
    <t xml:space="preserve">Native visual workflow builder (subagent, tool, transfer, end nodes) plus structured procedures.</t>
  </si>
  <si>
    <t xml:space="preserve">JRN-02</t>
  </si>
  <si>
    <t xml:space="preserve">Ability to have multiple workflows</t>
  </si>
  <si>
    <t xml:space="preserve">Multiple workflows and agents; agent-to-agent transfer keeps the transcript.</t>
  </si>
  <si>
    <t xml:space="preserve">JRN-03</t>
  </si>
  <si>
    <t xml:space="preserve">Ability to interact with and drive workflow in other tools</t>
  </si>
  <si>
    <t xml:space="preserve">Webhook tools and dispatch-tool nodes. MCP unavailable under ZRM.</t>
  </si>
  <si>
    <t xml:space="preserve">JRN-04</t>
  </si>
  <si>
    <t xml:space="preserve">Intent recognition covering core dental use cases: book, amend, cancel, emergency, treatment/price enquiry, payment, complaint, general enquiry</t>
  </si>
  <si>
    <t xml:space="preserve">LLM intent recognition via triggers/edges; no confidence score. Routing testable with tool-call tests.</t>
  </si>
  <si>
    <t xml:space="preserve">JRN-05</t>
  </si>
  <si>
    <t xml:space="preserve">Journeys, prompts and knowledge editable by trained mydentist staff without vendor change requests (low-code / no-code)</t>
  </si>
  <si>
    <t xml:space="preserve">No-code editors for workflows, procedures and KB; protected main branch. Tools still need developers.</t>
  </si>
  <si>
    <t xml:space="preserve">JRN-06</t>
  </si>
  <si>
    <t xml:space="preserve">Test environment and version control for journey changes before release to live</t>
  </si>
  <si>
    <t xml:space="preserve">Versions, branches, drafts, merge, traffic splits, env vars, tests per branch. Privacy, retention and call limits are shared across versions.</t>
  </si>
  <si>
    <t xml:space="preserve">HND-01</t>
  </si>
  <si>
    <t xml:space="preserve">Human hand-off &amp; escalation</t>
  </si>
  <si>
    <t xml:space="preserve">Patients have a clear 'off ramp' to speak directly to a human</t>
  </si>
  <si>
    <t xml:space="preserve">A caller either has a route to a human or they do not.</t>
  </si>
  <si>
    <t xml:space="preserve">Native transfer-to-number with natural-language conditions; 'press 0' via DTMF.</t>
  </si>
  <si>
    <t xml:space="preserve">HND-02</t>
  </si>
  <si>
    <t xml:space="preserve">Hands over to a human based on specific criteria or when it is not able to help</t>
  </si>
  <si>
    <t xml:space="preserve">LLM conditions plus deterministic expression and tool-result edges to transfer nodes.</t>
  </si>
  <si>
    <t xml:space="preserve">HND-03</t>
  </si>
  <si>
    <t xml:space="preserve">Hands over to a human based on semantic analysis and view of emotive level</t>
  </si>
  <si>
    <t xml:space="preserve">No real-time sentiment (post-call only); emotion-based hand-off rests on prompted LLM judgement.</t>
  </si>
  <si>
    <t xml:space="preserve">HND-04</t>
  </si>
  <si>
    <t xml:space="preserve">Recognises dental emergencies and safeguarding concerns and routes them via a defined pathway, not a generic queue</t>
  </si>
  <si>
    <t xml:space="preserve">Dedicated transfer rules/branches for emergency and safeguarding; LLM detection needs a test suite.</t>
  </si>
  <si>
    <t xml:space="preserve">HND-05</t>
  </si>
  <si>
    <t xml:space="preserve">Warm transfer passes the transcript summary and verified identity to the human agent so the caller does not repeat themselves</t>
  </si>
  <si>
    <t xml:space="preserve">No whisper over SIP. REFER carries X- headers and X-Conversation-ID; the summary screen-pop is ours via HubSpot.</t>
  </si>
  <si>
    <t xml:space="preserve">HND-06</t>
  </si>
  <si>
    <t xml:space="preserve">Offers a callback when no human is available and logs the request for follow-up</t>
  </si>
  <si>
    <t xml:space="preserve">Not scored: met by the PBX / our layer. Proposed Out of scope. No callback object or human-availability check; server tool to HubSpot plus outbound API, all ours.</t>
  </si>
  <si>
    <t xml:space="preserve">INT-01</t>
  </si>
  <si>
    <t xml:space="preserve">Systems integration</t>
  </si>
  <si>
    <t xml:space="preserve">HubSpot integration (CRM)</t>
  </si>
  <si>
    <t xml:space="preserve">Not scored: met by the PBX / our layer. Proposed Out of scope. Native HubSpot integration is US-hosted accounts only and unavailable under ZRM; our layer writes HubSpot.</t>
  </si>
  <si>
    <t xml:space="preserve">INT-02</t>
  </si>
  <si>
    <t xml:space="preserve">Integrates with Orthobridge</t>
  </si>
  <si>
    <t xml:space="preserve">Won't: not assessed.</t>
  </si>
  <si>
    <t xml:space="preserve">INT-03</t>
  </si>
  <si>
    <t xml:space="preserve">Integrates with Dentally</t>
  </si>
  <si>
    <t xml:space="preserve">INT-04</t>
  </si>
  <si>
    <t xml:space="preserve">Integrates with our booking capability</t>
  </si>
  <si>
    <t xml:space="preserve">Out of Scope</t>
  </si>
  <si>
    <t xml:space="preserve">Booking integration is ours to build for whichever vendor wins, so it cannot separate one vendor from another.</t>
  </si>
  <si>
    <t xml:space="preserve">INT-05</t>
  </si>
  <si>
    <t xml:space="preserve">Integrates with Tabeo</t>
  </si>
  <si>
    <t xml:space="preserve">Not scored: met by the PBX / our layer. Proposed Out of scope. No Tabeo integration; any integration would be built in our layer.</t>
  </si>
  <si>
    <t xml:space="preserve">INT-06</t>
  </si>
  <si>
    <t xml:space="preserve">Integrates with the practice management system (patient record, appointments)</t>
  </si>
  <si>
    <t xml:space="preserve">The practice management integration is the core of our deterministic transaction plane, built once for any vendor.</t>
  </si>
  <si>
    <t xml:space="preserve">INT-07</t>
  </si>
  <si>
    <t xml:space="preserve">Documented open APIs / webhooks for integrations not listed here</t>
  </si>
  <si>
    <t xml:space="preserve">Full REST API, SDKs, CLI, webhooks, hosted MCP server.</t>
  </si>
  <si>
    <t xml:space="preserve">INT-08</t>
  </si>
  <si>
    <t xml:space="preserve">Single sign-on via Microsoft Entra ID for staff and admin access</t>
  </si>
  <si>
    <t xml:space="preserve">Enterprise: Entra ID via SAML (SP-initiated only) and SCIM 2.0.</t>
  </si>
  <si>
    <t xml:space="preserve">PAY-01</t>
  </si>
  <si>
    <t xml:space="preserve">Payments</t>
  </si>
  <si>
    <t xml:space="preserve">We currently take payments over the phone using Securio; must integrate with this payment system or other options and be open to changes if we switch providers</t>
  </si>
  <si>
    <t xml:space="preserve">PCI DSS certification is held or it is not held.</t>
  </si>
  <si>
    <t xml:space="preserve">Not scored: met by the PBX / our layer. Proposed Out of scope. No payment capture or Securio integration; one-way transfer to the payment IVR, return path built in telephony.</t>
  </si>
  <si>
    <t xml:space="preserve">PAY-02</t>
  </si>
  <si>
    <t xml:space="preserve">PCI DSS compliance</t>
  </si>
  <si>
    <t xml:space="preserve">PCI DSS for ElevenLabs' own environment (Insight Assurance, 11 Sep 2025, per G-Cloud). Does not take our flow out of scope.</t>
  </si>
  <si>
    <t xml:space="preserve">PAY-03</t>
  </si>
  <si>
    <t xml:space="preserve">Card data never enters the AI transcript or recording (DTMF masking or pause-and-resume)</t>
  </si>
  <si>
    <t xml:space="preserve">Card data either stays out of the transcript or it does not, and a partial result is a breach.</t>
  </si>
  <si>
    <t xml:space="preserve">DTMF redaction cleans only the stored transcript: digits still reach the LLM live. PAN redaction is post-call and 'not 100%'. No STT/recording pause. Only met by handing off before card data.</t>
  </si>
  <si>
    <t xml:space="preserve">OMN-01</t>
  </si>
  <si>
    <t xml:space="preserve">Omnichannel</t>
  </si>
  <si>
    <t xml:space="preserve">Ability to shift to other communication platforms e.g. chat or WhatsApp</t>
  </si>
  <si>
    <t xml:space="preserve">WhatsApp, chat mode, widget, SMS (Twilio only). Cross-channel continuity undocumented; ZRM impact unconfirmed.</t>
  </si>
  <si>
    <t xml:space="preserve">OMN-02</t>
  </si>
  <si>
    <t xml:space="preserve">Sends SMS / email confirmation of bookings and actions taken on the call</t>
  </si>
  <si>
    <t xml:space="preserve">Not scored: met by the PBX / our layer. Proposed Out of scope. No email; SMS tool needs Twilio and is unavailable under ZRM. Confirmations sent from our booking transaction.</t>
  </si>
  <si>
    <t xml:space="preserve">SAF-01</t>
  </si>
  <si>
    <t xml:space="preserve">Safety, guardrails &amp; accuracy</t>
  </si>
  <si>
    <t xml:space="preserve">Guard rails</t>
  </si>
  <si>
    <t xml:space="preserve">Built-in guardrails (focus, manipulation, content, custom) but in alpha; blocking mode adds 200-500ms.</t>
  </si>
  <si>
    <t xml:space="preserve">SAF-02</t>
  </si>
  <si>
    <t xml:space="preserve">Data / information accuracy</t>
  </si>
  <si>
    <t xml:space="preserve">Accuracy controls via KB/RAG tuning, guardrails and evaluation criteria; source of truth is our retrieval service.</t>
  </si>
  <si>
    <t xml:space="preserve">SAF-03</t>
  </si>
  <si>
    <t xml:space="preserve">Answers are grounded in a controlled mydentist knowledge base (practice details, prices, policies); no fabricated facts</t>
  </si>
  <si>
    <t xml:space="preserve">No 'answer only from KB' mode or citation enforcement; grounding rests on prompt, guardrails and tests. MCP off under ZRM.</t>
  </si>
  <si>
    <t xml:space="preserve">SAF-04</t>
  </si>
  <si>
    <t xml:space="preserve">Gives no clinical advice beyond an approved script; clinical questions are routed to a human</t>
  </si>
  <si>
    <t xml:space="preserve">Giving clinical advice is a safety failure, not a scoring band.</t>
  </si>
  <si>
    <t xml:space="preserve">Verbatim 'Say' step for the approved script, custom guardrail and forced transfer. Guardrails are alpha.</t>
  </si>
  <si>
    <t xml:space="preserve">SAF-05</t>
  </si>
  <si>
    <t xml:space="preserve">Resistant to prompt injection and caller attempts to alter its behaviour</t>
  </si>
  <si>
    <t xml:space="preserve">Manipulation guardrail detects injection but ends the call; secret variables, overrides off by default. Real control is our call grammar.</t>
  </si>
  <si>
    <t xml:space="preserve">SEC-01</t>
  </si>
  <si>
    <t xml:space="preserve">Compliance, security &amp; data protection</t>
  </si>
  <si>
    <t xml:space="preserve">Clinical safety: vendor holds a DCB0129 compliant clinical safety case and supports our DCB0160 case</t>
  </si>
  <si>
    <t xml:space="preserve">No DCB0129 clinical safety case; as builder we would be the manufacturer.</t>
  </si>
  <si>
    <t xml:space="preserve">SEC-02</t>
  </si>
  <si>
    <t xml:space="preserve">DTAC (Digital Technology Assessment Criteria) compliant</t>
  </si>
  <si>
    <t xml:space="preserve">No DTAC; their DSPT/ISO/pentest evidence can feed ours.</t>
  </si>
  <si>
    <t xml:space="preserve">SEC-03</t>
  </si>
  <si>
    <t xml:space="preserve">Meets all UK accessibility requirements</t>
  </si>
  <si>
    <t xml:space="preserve">Accessibility conformance is claimed and evidenced, or it is not.</t>
  </si>
  <si>
    <t xml:space="preserve">G-Cloud declares accessibility standards 'None or don't know'; WCAG work in progress.</t>
  </si>
  <si>
    <t xml:space="preserve">SEC-04</t>
  </si>
  <si>
    <t xml:space="preserve">UK GDPR compliant with signed DPA and DSPT met</t>
  </si>
  <si>
    <t xml:space="preserve">A signed DPA and DSPT status are binary contractual facts.</t>
  </si>
  <si>
    <t xml:space="preserve">DPA with UK Addendum; DSPT 2025-26 'Standards exceeded'. Gaps: DPA annex lists sensitive data N/A; out-of-region support access (s13).</t>
  </si>
  <si>
    <t xml:space="preserve">SEC-05</t>
  </si>
  <si>
    <t xml:space="preserve">Data hosted and processed (including AI model inference) in the UK/EEA; all sub-processors disclosed</t>
  </si>
  <si>
    <t xml:space="preserve">Processing region is either UK or EEA or it is not, model inference included.</t>
  </si>
  <si>
    <t xml:space="preserve">Assumed config: EU residency + ZRM + API-only keeps processing in the EU. No UK region; under ZRM only Gemini, Claude and hosted Qwen LLMs; support/moderation exceptions. ZRM disables MCP.</t>
  </si>
  <si>
    <t xml:space="preserve">SEC-06</t>
  </si>
  <si>
    <t xml:space="preserve">Our call data and transcripts are not used to train vendor or third-party models</t>
  </si>
  <si>
    <t xml:space="preserve">Either our call data and transcripts train their models or they do not.</t>
  </si>
  <si>
    <t xml:space="preserve">Enterprise data not trained on by default; LLM sub-processor wording is loose, so confirm in contract.</t>
  </si>
  <si>
    <t xml:space="preserve">SEC-07</t>
  </si>
  <si>
    <t xml:space="preserve">Encryption at rest and in transit; role-based access; full audit trail</t>
  </si>
  <si>
    <t xml:space="preserve">Encryption, role based access and an audit trail are baseline controls rather than differentiators.</t>
  </si>
  <si>
    <t xml:space="preserve">Encryption, RBAC, SSO/SCIM on Enterprise. Audit logs cover admin actions only, not data access.</t>
  </si>
  <si>
    <t xml:space="preserve">SEC-08</t>
  </si>
  <si>
    <t xml:space="preserve">Configurable retention and deletion of recordings and transcripts</t>
  </si>
  <si>
    <t xml:space="preserve">Retention and deletion controls either exist or the data cannot be governed.</t>
  </si>
  <si>
    <t xml:space="preserve">Retention days, recording toggle, delete API; under ZRM nothing is retained. Backups up to 30 days.</t>
  </si>
  <si>
    <t xml:space="preserve">SEC-09</t>
  </si>
  <si>
    <t xml:space="preserve">Supports our DPIA with documentation of models used, data flows and AI-specific risks</t>
  </si>
  <si>
    <t xml:space="preserve">Model cards, security whitepaper, SOC 2, CAIQ, ISO 42001 docs, mostly under NDA. DPIA is ours.</t>
  </si>
  <si>
    <t xml:space="preserve">SEC-10</t>
  </si>
  <si>
    <t xml:space="preserve">Cyber Essentials Plus and/or ISO 27001 certified</t>
  </si>
  <si>
    <t xml:space="preserve">ISO 27001 and Cyber Essentials Plus listed on G-Cloud; SOC 2 Type II per Trust Centre. Check certificates are current.</t>
  </si>
  <si>
    <t xml:space="preserve">REC-01</t>
  </si>
  <si>
    <t xml:space="preserve">Transcripts, records &amp; data capture</t>
  </si>
  <si>
    <t xml:space="preserve">Transcript of the call</t>
  </si>
  <si>
    <t xml:space="preserve">A transcript is produced or it is not, and without one the audit trail fails.</t>
  </si>
  <si>
    <t xml:space="preserve">Transcripts delivered by post-call webhook; under ZRM that is the only copy (retries only if enabled).</t>
  </si>
  <si>
    <t xml:space="preserve">REC-02</t>
  </si>
  <si>
    <t xml:space="preserve">Transcript of the call in the original language and English translation</t>
  </si>
  <si>
    <t xml:space="preserve">Transcript in the spoken language only. Translation exists only in the dashboard viewer (empty under ZRM); no API field.</t>
  </si>
  <si>
    <t xml:space="preserve">REC-03</t>
  </si>
  <si>
    <t xml:space="preserve">Structured call summary (intent, outcome, actions) written back to the PMS / CRM record</t>
  </si>
  <si>
    <t xml:space="preserve">Writing a structured summary to the PMS or CRM is an orchestration layer write, not a vendor capability.</t>
  </si>
  <si>
    <t xml:space="preserve">REC-04</t>
  </si>
  <si>
    <t xml:space="preserve">Call recording notification and consent handled to UK requirements</t>
  </si>
  <si>
    <t xml:space="preserve">Spoken notice at call start; no consent capture or per-call recording stop.</t>
  </si>
  <si>
    <t xml:space="preserve">RPT-01</t>
  </si>
  <si>
    <t xml:space="preserve">Reporting, monitoring &amp; analytics</t>
  </si>
  <si>
    <t xml:space="preserve">Performance monitoring</t>
  </si>
  <si>
    <t xml:space="preserve">Call counts, duration, cost, latency p50-p99, errors. Under ZRM analytics are limited to non-sensitive metrics.</t>
  </si>
  <si>
    <t xml:space="preserve">RPT-02</t>
  </si>
  <si>
    <t xml:space="preserve">Dashboards of performance</t>
  </si>
  <si>
    <t xml:space="preserve">Built-in dashboard with per-branch/LLM grouping; reduced under ZRM.</t>
  </si>
  <si>
    <t xml:space="preserve">RPT-03</t>
  </si>
  <si>
    <t xml:space="preserve">Standard KPIs: containment rate, hand-off rate, abandonment, booking conversion, average handling time</t>
  </si>
  <si>
    <t xml:space="preserve">KPIs not built in; containment, hand-off and abandonment derivable from evaluation criteria and termination reason. Booking conversion is ours.</t>
  </si>
  <si>
    <t xml:space="preserve">RPT-04</t>
  </si>
  <si>
    <t xml:space="preserve">QA review tools: sample and score calls, flag failures, feed improvements back into journeys</t>
  </si>
  <si>
    <t xml:space="preserve">Auto LLM scoring and tags, but no human scorecard or sampling workflow; under ZRM no stored transcripts to review in the vendor UI.</t>
  </si>
  <si>
    <t xml:space="preserve">RPT-05</t>
  </si>
  <si>
    <t xml:space="preserve">Real-time alerting on outages, latency and failure spikes</t>
  </si>
  <si>
    <t xml:space="preserve">Failure-rate/spike monitors exist via API only and are undocumented; live monitoring Enterprise.</t>
  </si>
  <si>
    <t xml:space="preserve">RPT-06</t>
  </si>
  <si>
    <t xml:space="preserve">Data export / API into our own BI (e.g. Power BI)</t>
  </si>
  <si>
    <t xml:space="preserve">No BI connector; under ZRM data comes only from post-call webhooks into our warehouse.</t>
  </si>
  <si>
    <t xml:space="preserve">SVC-01</t>
  </si>
  <si>
    <t xml:space="preserve">Service, commercial &amp; vendor</t>
  </si>
  <si>
    <t xml:space="preserve">Uptime SLA of 99.9% or better with service credits; UK support hours and response times stated</t>
  </si>
  <si>
    <t xml:space="preserve">Published Agents SLA 99.5% (not 99.9%); credits 5%/10%. Standard support email-only, UK hours. 90-day status history shows 7 Agents/telephony incidents.</t>
  </si>
  <si>
    <t xml:space="preserve">SVC-02</t>
  </si>
  <si>
    <t xml:space="preserve">Transparent pricing (per call, minute or practice) with no hidden fees and a forecastable cost model</t>
  </si>
  <si>
    <t xml:space="preserve">$0.08/min list plus LLM tokens and 2x burst; Enterprise/EU rate unpublished; USD billing.</t>
  </si>
  <si>
    <t xml:space="preserve">SVC-03</t>
  </si>
  <si>
    <t xml:space="preserve">Phased pilot across a small set of practices before group-wide rollout</t>
  </si>
  <si>
    <t xml:space="preserve">G-Cloud trial and pilot packages; traffic splits for staged rollout.</t>
  </si>
  <si>
    <t xml:space="preserve">SVC-04</t>
  </si>
  <si>
    <t xml:space="preserve">Exit: export of all data in open formats at contract end; no lock-in</t>
  </si>
  <si>
    <t xml:space="preserve">Data export in open formats at contract end is a contractual yes or no.</t>
  </si>
  <si>
    <t xml:space="preserve">Conversation/transcript/audio APIs and webhooks; agent config as JSON. Voice clones not exportable.</t>
  </si>
  <si>
    <t xml:space="preserve">SVC-05</t>
  </si>
  <si>
    <t xml:space="preserve">Notifies and allows testing before underlying AI model changes are applied to our service</t>
  </si>
  <si>
    <t xml:space="preserve">Pinned versions and branch testing, but retired models migrate automatically and the default fallback chain can change without notice.</t>
  </si>
  <si>
    <t xml:space="preserve">SVC-06</t>
  </si>
  <si>
    <t xml:space="preserve">Reference customers in UK healthcare or dental</t>
  </si>
  <si>
    <t xml:space="preserve">No UK healthcare or dental reference published (3Shape, Cadence only).</t>
  </si>
  <si>
    <t xml:space="preserve">Systems Integration </t>
  </si>
  <si>
    <t xml:space="preserve">Integrates with R4 (APIS wil be provided)</t>
  </si>
  <si>
    <t xml:space="preserve">Scores an R4 API that does not yet exist, and the integration is ours to build regardless. Also a duplicate of the SVC-06 ID.</t>
  </si>
  <si>
    <t xml:space="preserve">NHS-01</t>
  </si>
  <si>
    <t xml:space="preserve">NHS certifications, assessments &amp; contracts</t>
  </si>
  <si>
    <t xml:space="preserve">List current and previous contracts with NHS organisations (trusts, ICBs, GP practices, NHS dental providers) and other UK healthcare providers: scope, dates, scale, procurement route (e.g. G-Cloud, CCS, NHS SBS, HSSF) and whether referenceable</t>
  </si>
  <si>
    <t xml:space="preserve">G-Cloud 15 listing and UK Government MOU; no NHS contracts or other framework listings found.</t>
  </si>
  <si>
    <t xml:space="preserve">NHS-02</t>
  </si>
  <si>
    <t xml:space="preserve">State MHRA registration status of any product (registration number, class, intended purpose as registered) and UKCA/CE marking held, or confirm none and the rationale</t>
  </si>
  <si>
    <t xml:space="preserve">Not scored: needs a vendor statement. No MHRA registration or UKCA/CE marking found.</t>
  </si>
  <si>
    <t xml:space="preserve">TOTAL WEIGHTED SCORE</t>
  </si>
  <si>
    <t xml:space="preserve">Maximum possible score</t>
  </si>
  <si>
    <t xml:space="preserve">WEIGHTED SCORE  %</t>
  </si>
  <si>
    <t xml:space="preserve">MUST-HAVE GATE</t>
  </si>
  <si>
    <t xml:space="preserve">Results Dashboard</t>
  </si>
  <si>
    <t xml:space="preserve">Ranked by weighted score. A Must-have gate failure overrides the ranking for shortlisting.</t>
  </si>
  <si>
    <t xml:space="preserve">Rank</t>
  </si>
  <si>
    <t xml:space="preserve">Vendor</t>
  </si>
  <si>
    <t xml:space="preserve">Max possible</t>
  </si>
  <si>
    <t xml:space="preserve">Score %</t>
  </si>
  <si>
    <t xml:space="preserve">Must gate</t>
  </si>
  <si>
    <t xml:space="preserve">Recommendation</t>
  </si>
  <si>
    <t xml:space="preserve">Notes</t>
  </si>
  <si>
    <t xml:space="preserve">Score % = total weighted score / maximum possible (all scored requirements at 5). It ignores unscored rows so partial assessments still compare fairly.</t>
  </si>
  <si>
    <t xml:space="preserve">Must gate = FAIL if the vendor scores below the Config pass threshold on any requirement marked 'Must'. A failing vendor is excluded regardless of %.</t>
  </si>
  <si>
    <t xml:space="preserve">To add a 5th+ vendor, insert paired Score/Weighted columns on the Assessment tab and extend the totals; or reuse the sheet per lot/package.</t>
  </si>
  <si>
    <t xml:space="preserve">ElevenLabs = provisional desk-research scores (2026-10-01), assuming Enterprise + EU residency + Zero Retention Mode. Blank rows are out of scope, met by the PBX / our layer, or need a vendor statement. Basis per row in Assessment column Q; detail in ElevenLabs/capabilities.md.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</si>
</sst>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404846"/>
      <name val="Quattrocento Sans"/>
      <family val="0"/>
      <charset val="1"/>
    </font>
    <font>
      <sz val="12"/>
      <color rgb="FFBA4E97"/>
      <name val="Quattrocento Sans"/>
      <family val="0"/>
      <charset val="1"/>
    </font>
    <font>
      <b val="true"/>
      <sz val="13"/>
      <color rgb="FF66C1BF"/>
      <name val="Quattrocento Sans"/>
      <family val="0"/>
      <charset val="1"/>
    </font>
    <font>
      <b val="true"/>
      <sz val="10"/>
      <color rgb="FF404846"/>
      <name val="Quattrocento Sans"/>
      <family val="0"/>
      <charset val="1"/>
    </font>
    <font>
      <sz val="10"/>
      <color rgb="FF404846"/>
      <name val="Quattrocento Sans"/>
      <family val="0"/>
      <charset val="1"/>
    </font>
    <font>
      <b val="true"/>
      <sz val="18"/>
      <color rgb="FF404846"/>
      <name val="Quattrocento Sans"/>
      <family val="0"/>
      <charset val="1"/>
    </font>
    <font>
      <sz val="10"/>
      <color rgb="FF869492"/>
      <name val="Quattrocento Sans"/>
      <family val="0"/>
      <charset val="1"/>
    </font>
    <font>
      <b val="true"/>
      <sz val="12"/>
      <color rgb="FFBA4E97"/>
      <name val="Quattrocento Sans"/>
      <family val="0"/>
      <charset val="1"/>
    </font>
    <font>
      <b val="true"/>
      <sz val="10"/>
      <color rgb="FFFFFFFF"/>
      <name val="Quattrocento Sans"/>
      <family val="0"/>
      <charset val="1"/>
    </font>
    <font>
      <sz val="10"/>
      <color rgb="FF0000FF"/>
      <name val="Quattrocento Sans"/>
      <family val="0"/>
      <charset val="1"/>
    </font>
    <font>
      <sz val="9"/>
      <color rgb="FF404846"/>
      <name val="Quattrocento Sans"/>
      <family val="0"/>
      <charset val="1"/>
    </font>
    <font>
      <b val="true"/>
      <sz val="12"/>
      <color rgb="FF0000FF"/>
      <name val="Quattrocento Sans"/>
      <family val="0"/>
      <charset val="1"/>
    </font>
    <font>
      <sz val="10"/>
      <name val="Arial"/>
      <family val="2"/>
    </font>
    <font>
      <sz val="9"/>
      <color rgb="FF869492"/>
      <name val="Quattrocento Sans"/>
      <family val="0"/>
      <charset val="1"/>
    </font>
    <font>
      <b val="true"/>
      <sz val="9"/>
      <color rgb="FF404846"/>
      <name val="Quattrocento Sans"/>
      <family val="0"/>
      <charset val="1"/>
    </font>
    <font>
      <b val="true"/>
      <sz val="11"/>
      <color rgb="FF0000FF"/>
      <name val="Quattrocento Sans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0000FF"/>
      <name val="Quattrocento Sans"/>
      <family val="0"/>
      <charset val="1"/>
    </font>
    <font>
      <b val="true"/>
      <sz val="12"/>
      <color rgb="FF404846"/>
      <name val="Quattrocento Sans"/>
      <family val="0"/>
      <charset val="1"/>
    </font>
    <font>
      <b val="true"/>
      <sz val="13"/>
      <color rgb="FFBA4E97"/>
      <name val="Quattrocento Sans"/>
      <family val="0"/>
      <charset val="1"/>
    </font>
    <font>
      <b val="true"/>
      <sz val="11"/>
      <color rgb="FF404846"/>
      <name val="Quattrocento Sans"/>
      <family val="0"/>
      <charset val="1"/>
    </font>
    <font>
      <b val="true"/>
      <sz val="12"/>
      <color rgb="FF66C1BF"/>
      <name val="Quattrocento San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5F5"/>
        <bgColor rgb="FFFFFFFF"/>
      </patternFill>
    </fill>
    <fill>
      <patternFill patternType="solid">
        <fgColor rgb="FF404846"/>
        <bgColor rgb="FF333300"/>
      </patternFill>
    </fill>
    <fill>
      <patternFill patternType="solid">
        <fgColor rgb="FFFFF7CC"/>
        <bgColor rgb="FFF2F5F5"/>
      </patternFill>
    </fill>
    <fill>
      <patternFill patternType="solid">
        <fgColor rgb="FFBA4E97"/>
        <bgColor rgb="FF993366"/>
      </patternFill>
    </fill>
    <fill>
      <patternFill patternType="solid">
        <fgColor rgb="FF66C1BF"/>
        <bgColor rgb="FF869492"/>
      </patternFill>
    </fill>
    <fill>
      <patternFill patternType="solid">
        <fgColor rgb="FFFFFFFF"/>
        <bgColor rgb="FFF2F5F5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E6B8AF"/>
        <bgColor rgb="FFF4C7C3"/>
      </patternFill>
    </fill>
    <fill>
      <patternFill patternType="solid">
        <fgColor rgb="FFD9D2E9"/>
        <bgColor rgb="FFD0D6D5"/>
      </patternFill>
    </fill>
    <fill>
      <patternFill patternType="solid">
        <fgColor rgb="FF869492"/>
        <bgColor rgb="FF8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6D5"/>
      </left>
      <right style="thin">
        <color rgb="FFD0D6D5"/>
      </right>
      <top style="thin">
        <color rgb="FFD0D6D5"/>
      </top>
      <bottom style="thin">
        <color rgb="FFD0D6D5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D0D6D5"/>
      </left>
      <right/>
      <top style="thin">
        <color rgb="FFD0D6D5"/>
      </top>
      <bottom style="thin">
        <color rgb="FFD0D6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Quattrocento Sans"/>
        <charset val="1"/>
        <family val="0"/>
        <b val="1"/>
        <color rgb="FF9C1F16"/>
      </font>
      <fill>
        <patternFill>
          <bgColor rgb="FFF4C7C3"/>
        </patternFill>
      </fill>
    </dxf>
    <dxf>
      <font>
        <name val="Quattrocento Sans"/>
        <charset val="1"/>
        <family val="0"/>
        <b val="1"/>
        <color rgb="FF1F6E6B"/>
      </font>
      <fill>
        <patternFill>
          <bgColor rgb="FFD6EF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B"/>
      <rgbColor rgb="FFD0D6D5"/>
      <rgbColor rgb="FF808080"/>
      <rgbColor rgb="FF9999FF"/>
      <rgbColor rgb="FFBA4E97"/>
      <rgbColor rgb="FFFFF7CC"/>
      <rgbColor rgb="FFD6EFEE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5"/>
      <rgbColor rgb="FFCFE2F3"/>
      <rgbColor rgb="FFFFFF99"/>
      <rgbColor rgb="FFD9D2E9"/>
      <rgbColor rgb="FFE6B8AF"/>
      <rgbColor rgb="FFCC99FF"/>
      <rgbColor rgb="FFF4C7C3"/>
      <rgbColor rgb="FF3366FF"/>
      <rgbColor rgb="FF66C1BF"/>
      <rgbColor rgb="FF99CC00"/>
      <rgbColor rgb="FFFFCC00"/>
      <rgbColor rgb="FFFF9900"/>
      <rgbColor rgb="FFFF6600"/>
      <rgbColor rgb="FF666699"/>
      <rgbColor rgb="FF869492"/>
      <rgbColor rgb="FF003366"/>
      <rgbColor rgb="FF339966"/>
      <rgbColor rgb="FF003300"/>
      <rgbColor rgb="FF333300"/>
      <rgbColor rgb="FF9C1F16"/>
      <rgbColor rgb="FF993366"/>
      <rgbColor rgb="FF333399"/>
      <rgbColor rgb="FF4048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  <col collapsed="false" customWidth="true" hidden="false" outlineLevel="0" max="26" min="4" style="0" width="8.71"/>
  </cols>
  <sheetData>
    <row r="1" customFormat="false" ht="14.25" hidden="false" customHeight="true" outlineLevel="0" collapsed="false"/>
    <row r="2" customFormat="false" ht="29.25" hidden="false" customHeight="true" outlineLevel="0" collapsed="false">
      <c r="B2" s="1" t="s">
        <v>0</v>
      </c>
    </row>
    <row r="3" customFormat="false" ht="18.75" hidden="false" customHeight="true" outlineLevel="0" collapsed="false">
      <c r="B3" s="2" t="s">
        <v>1</v>
      </c>
    </row>
    <row r="4" customFormat="false" ht="14.25" hidden="false" customHeight="true" outlineLevel="0" collapsed="false"/>
    <row r="5" customFormat="false" ht="21.75" hidden="false" customHeight="true" outlineLevel="0" collapsed="false">
      <c r="B5" s="3" t="s">
        <v>2</v>
      </c>
      <c r="C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/>
      <c r="C10" s="6"/>
    </row>
    <row r="11" customFormat="false" ht="19.5" hidden="false" customHeight="true" outlineLevel="0" collapsed="false">
      <c r="B11" s="3" t="s">
        <v>11</v>
      </c>
      <c r="C11" s="4"/>
    </row>
    <row r="12" customFormat="false" ht="15" hidden="false" customHeight="true" outlineLevel="0" collapsed="false">
      <c r="B12" s="5" t="s">
        <v>12</v>
      </c>
      <c r="C12" s="6" t="s">
        <v>13</v>
      </c>
    </row>
    <row r="13" customFormat="false" ht="15" hidden="false" customHeight="true" outlineLevel="0" collapsed="false">
      <c r="B13" s="5" t="s">
        <v>14</v>
      </c>
      <c r="C13" s="6" t="s">
        <v>15</v>
      </c>
    </row>
    <row r="14" customFormat="false" ht="30" hidden="false" customHeight="true" outlineLevel="0" collapsed="false">
      <c r="B14" s="5" t="s">
        <v>16</v>
      </c>
      <c r="C14" s="6" t="s">
        <v>17</v>
      </c>
    </row>
    <row r="15" customFormat="false" ht="30" hidden="false" customHeight="true" outlineLevel="0" collapsed="false">
      <c r="B15" s="5" t="s">
        <v>18</v>
      </c>
      <c r="C15" s="6" t="s">
        <v>19</v>
      </c>
    </row>
    <row r="16" customFormat="false" ht="15" hidden="false" customHeight="true" outlineLevel="0" collapsed="false">
      <c r="B16" s="5"/>
      <c r="C16" s="6"/>
    </row>
    <row r="17" customFormat="false" ht="19.5" hidden="false" customHeight="true" outlineLevel="0" collapsed="false">
      <c r="B17" s="3" t="s">
        <v>20</v>
      </c>
      <c r="C17" s="4"/>
    </row>
    <row r="18" customFormat="false" ht="15" hidden="false" customHeight="true" outlineLevel="0" collapsed="false">
      <c r="B18" s="5" t="s">
        <v>21</v>
      </c>
      <c r="C18" s="6" t="s">
        <v>22</v>
      </c>
    </row>
    <row r="19" customFormat="false" ht="15" hidden="false" customHeight="true" outlineLevel="0" collapsed="false">
      <c r="B19" s="5" t="s">
        <v>23</v>
      </c>
      <c r="C19" s="6" t="s">
        <v>24</v>
      </c>
    </row>
    <row r="20" customFormat="false" ht="30" hidden="false" customHeight="true" outlineLevel="0" collapsed="false">
      <c r="B20" s="5" t="s">
        <v>25</v>
      </c>
      <c r="C20" s="6" t="s">
        <v>26</v>
      </c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26" min="5" style="0" width="8.71"/>
  </cols>
  <sheetData>
    <row r="1" customFormat="false" ht="14.25" hidden="false" customHeight="true" outlineLevel="0" collapsed="false"/>
    <row r="2" customFormat="false" ht="27" hidden="false" customHeight="true" outlineLevel="0" collapsed="false">
      <c r="B2" s="7" t="s">
        <v>27</v>
      </c>
    </row>
    <row r="3" customFormat="false" ht="15" hidden="false" customHeight="true" outlineLevel="0" collapsed="false">
      <c r="B3" s="8" t="s">
        <v>28</v>
      </c>
    </row>
    <row r="4" customFormat="false" ht="14.25" hidden="false" customHeight="true" outlineLevel="0" collapsed="false"/>
    <row r="5" customFormat="false" ht="18.75" hidden="false" customHeight="true" outlineLevel="0" collapsed="false">
      <c r="B5" s="9" t="s">
        <v>29</v>
      </c>
    </row>
    <row r="6" customFormat="false" ht="15" hidden="false" customHeight="true" outlineLevel="0" collapsed="false">
      <c r="B6" s="10" t="s">
        <v>30</v>
      </c>
      <c r="C6" s="10" t="s">
        <v>12</v>
      </c>
      <c r="D6" s="10" t="s">
        <v>31</v>
      </c>
    </row>
    <row r="7" customFormat="false" ht="26.25" hidden="false" customHeight="true" outlineLevel="0" collapsed="false">
      <c r="B7" s="11" t="s">
        <v>32</v>
      </c>
      <c r="C7" s="12" t="n">
        <v>5</v>
      </c>
      <c r="D7" s="13" t="s">
        <v>33</v>
      </c>
    </row>
    <row r="8" customFormat="false" ht="15" hidden="false" customHeight="true" outlineLevel="0" collapsed="false">
      <c r="B8" s="11" t="s">
        <v>34</v>
      </c>
      <c r="C8" s="12" t="n">
        <v>3</v>
      </c>
      <c r="D8" s="13" t="s">
        <v>35</v>
      </c>
    </row>
    <row r="9" customFormat="false" ht="15" hidden="false" customHeight="true" outlineLevel="0" collapsed="false">
      <c r="B9" s="11" t="s">
        <v>36</v>
      </c>
      <c r="C9" s="12" t="n">
        <v>1</v>
      </c>
      <c r="D9" s="13" t="s">
        <v>37</v>
      </c>
    </row>
    <row r="10" customFormat="false" ht="15" hidden="false" customHeight="true" outlineLevel="0" collapsed="false">
      <c r="B10" s="11" t="s">
        <v>38</v>
      </c>
      <c r="C10" s="12" t="n">
        <v>0</v>
      </c>
      <c r="D10" s="13" t="s">
        <v>39</v>
      </c>
    </row>
    <row r="11" customFormat="false" ht="14.25" hidden="false" customHeight="true" outlineLevel="0" collapsed="false"/>
    <row r="12" customFormat="false" ht="18.75" hidden="false" customHeight="true" outlineLevel="0" collapsed="false">
      <c r="B12" s="9" t="s">
        <v>40</v>
      </c>
    </row>
    <row r="13" customFormat="false" ht="18.75" hidden="false" customHeight="true" outlineLevel="0" collapsed="false">
      <c r="B13" s="14" t="s">
        <v>41</v>
      </c>
      <c r="C13" s="14"/>
      <c r="D13" s="15" t="n">
        <v>3</v>
      </c>
    </row>
    <row r="14" customFormat="false" ht="14.25" hidden="false" customHeight="true" outlineLevel="0" collapsed="false"/>
    <row r="15" customFormat="false" ht="18.75" hidden="false" customHeight="true" outlineLevel="0" collapsed="false">
      <c r="B15" s="9" t="s">
        <v>42</v>
      </c>
    </row>
    <row r="16" customFormat="false" ht="15" hidden="false" customHeight="true" outlineLevel="0" collapsed="false">
      <c r="B16" s="10" t="s">
        <v>43</v>
      </c>
      <c r="C16" s="10" t="s">
        <v>44</v>
      </c>
      <c r="D16" s="10" t="s">
        <v>45</v>
      </c>
    </row>
    <row r="17" customFormat="false" ht="15" hidden="false" customHeight="true" outlineLevel="0" collapsed="false">
      <c r="B17" s="16" t="n">
        <v>5</v>
      </c>
      <c r="C17" s="17" t="s">
        <v>46</v>
      </c>
      <c r="D17" s="13" t="s">
        <v>47</v>
      </c>
    </row>
    <row r="18" customFormat="false" ht="15" hidden="false" customHeight="true" outlineLevel="0" collapsed="false">
      <c r="B18" s="16" t="n">
        <v>4</v>
      </c>
      <c r="C18" s="17" t="s">
        <v>48</v>
      </c>
      <c r="D18" s="13" t="s">
        <v>49</v>
      </c>
    </row>
    <row r="19" customFormat="false" ht="15" hidden="false" customHeight="true" outlineLevel="0" collapsed="false">
      <c r="B19" s="16" t="n">
        <v>3</v>
      </c>
      <c r="C19" s="17" t="s">
        <v>50</v>
      </c>
      <c r="D19" s="13" t="s">
        <v>51</v>
      </c>
    </row>
    <row r="20" customFormat="false" ht="15" hidden="false" customHeight="true" outlineLevel="0" collapsed="false">
      <c r="B20" s="16" t="n">
        <v>2</v>
      </c>
      <c r="C20" s="17" t="s">
        <v>52</v>
      </c>
      <c r="D20" s="13" t="s">
        <v>53</v>
      </c>
    </row>
    <row r="21" customFormat="false" ht="15" hidden="false" customHeight="true" outlineLevel="0" collapsed="false">
      <c r="B21" s="16" t="n">
        <v>1</v>
      </c>
      <c r="C21" s="17" t="s">
        <v>54</v>
      </c>
      <c r="D21" s="13" t="s">
        <v>55</v>
      </c>
    </row>
    <row r="22" customFormat="false" ht="15" hidden="false" customHeight="true" outlineLevel="0" collapsed="false">
      <c r="B22" s="16" t="n">
        <v>0</v>
      </c>
      <c r="C22" s="17" t="s">
        <v>56</v>
      </c>
      <c r="D22" s="13" t="s">
        <v>57</v>
      </c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7.86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8.29"/>
    <col collapsed="false" customWidth="true" hidden="false" outlineLevel="0" max="26" min="17" style="0" width="70"/>
  </cols>
  <sheetData>
    <row r="1" customFormat="false" ht="26.25" hidden="false" customHeight="true" outlineLevel="0" collapsed="false">
      <c r="A1" s="7" t="s">
        <v>58</v>
      </c>
    </row>
    <row r="2" customFormat="false" ht="14.25" hidden="false" customHeight="true" outlineLevel="0" collapsed="false">
      <c r="A2" s="18" t="s">
        <v>59</v>
      </c>
    </row>
    <row r="3" customFormat="false" ht="14.25" hidden="false" customHeight="true" outlineLevel="0" collapsed="false"/>
    <row r="4" customFormat="false" ht="15" hidden="false" customHeight="true" outlineLevel="0" collapsed="false">
      <c r="A4" s="19" t="s">
        <v>60</v>
      </c>
      <c r="B4" s="19"/>
      <c r="C4" s="19"/>
      <c r="D4" s="19"/>
      <c r="E4" s="19"/>
      <c r="G4" s="20" t="s">
        <v>61</v>
      </c>
      <c r="H4" s="20"/>
      <c r="I4" s="20" t="s">
        <v>62</v>
      </c>
      <c r="J4" s="20"/>
      <c r="K4" s="20" t="s">
        <v>63</v>
      </c>
      <c r="L4" s="20"/>
      <c r="M4" s="20" t="s">
        <v>64</v>
      </c>
      <c r="N4" s="20"/>
      <c r="O4" s="21" t="s">
        <v>65</v>
      </c>
      <c r="P4" s="22" t="s">
        <v>66</v>
      </c>
      <c r="Q4" s="22" t="s">
        <v>67</v>
      </c>
      <c r="R4" s="23"/>
    </row>
    <row r="5" customFormat="false" ht="14.25" hidden="false" customHeight="true" outlineLevel="0" collapsed="false">
      <c r="A5" s="10" t="s">
        <v>68</v>
      </c>
      <c r="B5" s="10" t="s">
        <v>69</v>
      </c>
      <c r="C5" s="10" t="s">
        <v>70</v>
      </c>
      <c r="D5" s="10" t="s">
        <v>71</v>
      </c>
      <c r="E5" s="10" t="s">
        <v>12</v>
      </c>
      <c r="F5" s="10"/>
      <c r="G5" s="24" t="s">
        <v>43</v>
      </c>
      <c r="H5" s="25" t="s">
        <v>72</v>
      </c>
      <c r="I5" s="24" t="s">
        <v>43</v>
      </c>
      <c r="J5" s="25" t="s">
        <v>72</v>
      </c>
      <c r="K5" s="24" t="s">
        <v>43</v>
      </c>
      <c r="L5" s="25" t="s">
        <v>72</v>
      </c>
      <c r="M5" s="24" t="s">
        <v>43</v>
      </c>
      <c r="N5" s="26" t="s">
        <v>72</v>
      </c>
      <c r="O5" s="27"/>
      <c r="P5" s="28"/>
      <c r="Q5" s="28"/>
    </row>
    <row r="6" customFormat="false" ht="25.5" hidden="false" customHeight="true" outlineLevel="0" collapsed="false">
      <c r="A6" s="29" t="s">
        <v>73</v>
      </c>
      <c r="B6" s="30" t="s">
        <v>74</v>
      </c>
      <c r="C6" s="30" t="s">
        <v>75</v>
      </c>
      <c r="D6" s="31" t="s">
        <v>32</v>
      </c>
      <c r="E6" s="32" t="n">
        <f aca="false" t="array" ref="E6:E6">IFERROR(INDEX(Config!$C$7:$C$10,MATCH(D6,Config!$B$7:$B$10,0)),0)</f>
        <v>5</v>
      </c>
      <c r="F6" s="32"/>
      <c r="G6" s="12" t="n">
        <v>3</v>
      </c>
      <c r="H6" s="32" t="n">
        <f aca="false">IF(G6="","",$E6*G6)</f>
        <v>15</v>
      </c>
      <c r="I6" s="12"/>
      <c r="J6" s="32" t="str">
        <f aca="false">IF(I6="","",$E6*I6)</f>
        <v/>
      </c>
      <c r="K6" s="12"/>
      <c r="L6" s="32" t="str">
        <f aca="false">IF(K6="","",$E6*K6)</f>
        <v/>
      </c>
      <c r="M6" s="12"/>
      <c r="N6" s="32" t="str">
        <f aca="false">IF(M6="","",$E6*M6)</f>
        <v/>
      </c>
      <c r="Q6" s="33" t="s">
        <v>76</v>
      </c>
    </row>
    <row r="7" customFormat="false" ht="38.25" hidden="false" customHeight="true" outlineLevel="0" collapsed="false">
      <c r="A7" s="29" t="s">
        <v>77</v>
      </c>
      <c r="B7" s="30" t="s">
        <v>74</v>
      </c>
      <c r="C7" s="30" t="s">
        <v>78</v>
      </c>
      <c r="D7" s="31" t="s">
        <v>32</v>
      </c>
      <c r="E7" s="34" t="n">
        <f aca="false" t="array" ref="E7:E7">IFERROR(INDEX(Config!$C$7:$C$10,MATCH(D7,Config!$B$7:$B$10,0)),0)</f>
        <v>5</v>
      </c>
      <c r="F7" s="34"/>
      <c r="G7" s="12"/>
      <c r="H7" s="34" t="str">
        <f aca="false">IF(G7="","",$E7*G7)</f>
        <v/>
      </c>
      <c r="I7" s="12"/>
      <c r="J7" s="34" t="str">
        <f aca="false">IF(I7="","",$E7*I7)</f>
        <v/>
      </c>
      <c r="K7" s="12"/>
      <c r="L7" s="34" t="str">
        <f aca="false">IF(K7="","",$E7*K7)</f>
        <v/>
      </c>
      <c r="M7" s="12"/>
      <c r="N7" s="34" t="str">
        <f aca="false">IF(M7="","",$E7*M7)</f>
        <v/>
      </c>
      <c r="Q7" s="33" t="s">
        <v>79</v>
      </c>
    </row>
    <row r="8" customFormat="false" ht="25.5" hidden="false" customHeight="true" outlineLevel="0" collapsed="false">
      <c r="A8" s="29" t="s">
        <v>80</v>
      </c>
      <c r="B8" s="30" t="s">
        <v>74</v>
      </c>
      <c r="C8" s="30" t="s">
        <v>81</v>
      </c>
      <c r="D8" s="31" t="s">
        <v>32</v>
      </c>
      <c r="E8" s="32" t="n">
        <f aca="false" t="array" ref="E8:E8">IFERROR(INDEX(Config!$C$7:$C$10,MATCH(D8,Config!$B$7:$B$10,0)),0)</f>
        <v>5</v>
      </c>
      <c r="F8" s="32"/>
      <c r="G8" s="12"/>
      <c r="H8" s="32" t="str">
        <f aca="false">IF(G8="","",$E8*G8)</f>
        <v/>
      </c>
      <c r="I8" s="12"/>
      <c r="J8" s="32" t="str">
        <f aca="false">IF(I8="","",$E8*I8)</f>
        <v/>
      </c>
      <c r="K8" s="12"/>
      <c r="L8" s="32" t="str">
        <f aca="false">IF(K8="","",$E8*K8)</f>
        <v/>
      </c>
      <c r="M8" s="12"/>
      <c r="N8" s="32" t="str">
        <f aca="false">IF(M8="","",$E8*M8)</f>
        <v/>
      </c>
      <c r="Q8" s="33" t="s">
        <v>82</v>
      </c>
    </row>
    <row r="9" customFormat="false" ht="14.25" hidden="false" customHeight="true" outlineLevel="0" collapsed="false">
      <c r="A9" s="29" t="s">
        <v>83</v>
      </c>
      <c r="B9" s="30" t="s">
        <v>74</v>
      </c>
      <c r="C9" s="30" t="s">
        <v>84</v>
      </c>
      <c r="D9" s="31" t="s">
        <v>32</v>
      </c>
      <c r="E9" s="34" t="n">
        <f aca="false" t="array" ref="E9:E9">IFERROR(INDEX(Config!$C$7:$C$10,MATCH(D9,Config!$B$7:$B$10,0)),0)</f>
        <v>5</v>
      </c>
      <c r="F9" s="34"/>
      <c r="G9" s="12" t="n">
        <v>3</v>
      </c>
      <c r="H9" s="34" t="n">
        <f aca="false">IF(G9="","",$E9*G9)</f>
        <v>15</v>
      </c>
      <c r="I9" s="12"/>
      <c r="J9" s="34" t="str">
        <f aca="false">IF(I9="","",$E9*I9)</f>
        <v/>
      </c>
      <c r="K9" s="12"/>
      <c r="L9" s="34" t="str">
        <f aca="false">IF(K9="","",$E9*K9)</f>
        <v/>
      </c>
      <c r="M9" s="12"/>
      <c r="N9" s="34" t="str">
        <f aca="false">IF(M9="","",$E9*M9)</f>
        <v/>
      </c>
      <c r="Q9" s="33" t="s">
        <v>85</v>
      </c>
    </row>
    <row r="10" customFormat="false" ht="38.25" hidden="false" customHeight="true" outlineLevel="0" collapsed="false">
      <c r="A10" s="29" t="s">
        <v>86</v>
      </c>
      <c r="B10" s="30" t="s">
        <v>74</v>
      </c>
      <c r="C10" s="30" t="s">
        <v>87</v>
      </c>
      <c r="D10" s="31" t="s">
        <v>32</v>
      </c>
      <c r="E10" s="32" t="n">
        <f aca="false" t="array" ref="E10:E10">IFERROR(INDEX(Config!$C$7:$C$10,MATCH(D10,Config!$B$7:$B$10,0)),0)</f>
        <v>5</v>
      </c>
      <c r="F10" s="32"/>
      <c r="G10" s="12" t="n">
        <v>3</v>
      </c>
      <c r="H10" s="32" t="n">
        <f aca="false">IF(G10="","",$E10*G10)</f>
        <v>15</v>
      </c>
      <c r="I10" s="12"/>
      <c r="J10" s="32" t="str">
        <f aca="false">IF(I10="","",$E10*I10)</f>
        <v/>
      </c>
      <c r="K10" s="12"/>
      <c r="L10" s="32" t="str">
        <f aca="false">IF(K10="","",$E10*K10)</f>
        <v/>
      </c>
      <c r="M10" s="12"/>
      <c r="N10" s="32" t="str">
        <f aca="false">IF(M10="","",$E10*M10)</f>
        <v/>
      </c>
      <c r="Q10" s="33" t="s">
        <v>88</v>
      </c>
    </row>
    <row r="11" customFormat="false" ht="38.25" hidden="false" customHeight="true" outlineLevel="0" collapsed="false">
      <c r="A11" s="29" t="s">
        <v>89</v>
      </c>
      <c r="B11" s="30" t="s">
        <v>74</v>
      </c>
      <c r="C11" s="30" t="s">
        <v>90</v>
      </c>
      <c r="D11" s="31" t="s">
        <v>32</v>
      </c>
      <c r="E11" s="34" t="n">
        <f aca="false" t="array" ref="E11:E11">IFERROR(INDEX(Config!$C$7:$C$10,MATCH(D11,Config!$B$7:$B$10,0)),0)</f>
        <v>5</v>
      </c>
      <c r="F11" s="34"/>
      <c r="G11" s="12" t="n">
        <v>3</v>
      </c>
      <c r="H11" s="34" t="n">
        <f aca="false">IF(G11="","",$E11*G11)</f>
        <v>15</v>
      </c>
      <c r="I11" s="12"/>
      <c r="J11" s="34" t="str">
        <f aca="false">IF(I11="","",$E11*I11)</f>
        <v/>
      </c>
      <c r="K11" s="12"/>
      <c r="L11" s="34" t="str">
        <f aca="false">IF(K11="","",$E11*K11)</f>
        <v/>
      </c>
      <c r="M11" s="12"/>
      <c r="N11" s="34" t="str">
        <f aca="false">IF(M11="","",$E11*M11)</f>
        <v/>
      </c>
      <c r="Q11" s="33" t="s">
        <v>91</v>
      </c>
    </row>
    <row r="12" customFormat="false" ht="25.5" hidden="false" customHeight="true" outlineLevel="0" collapsed="false">
      <c r="A12" s="29" t="s">
        <v>92</v>
      </c>
      <c r="B12" s="30" t="s">
        <v>74</v>
      </c>
      <c r="C12" s="30" t="s">
        <v>93</v>
      </c>
      <c r="D12" s="31" t="s">
        <v>32</v>
      </c>
      <c r="E12" s="32" t="n">
        <f aca="false" t="array" ref="E12:E12">IFERROR(INDEX(Config!$C$7:$C$10,MATCH(D12,Config!$B$7:$B$10,0)),0)</f>
        <v>5</v>
      </c>
      <c r="F12" s="32"/>
      <c r="G12" s="12"/>
      <c r="H12" s="32" t="str">
        <f aca="false">IF(G12="","",$E12*G12)</f>
        <v/>
      </c>
      <c r="I12" s="12"/>
      <c r="J12" s="32" t="str">
        <f aca="false">IF(I12="","",$E12*I12)</f>
        <v/>
      </c>
      <c r="K12" s="12"/>
      <c r="L12" s="32" t="str">
        <f aca="false">IF(K12="","",$E12*K12)</f>
        <v/>
      </c>
      <c r="M12" s="12"/>
      <c r="N12" s="32" t="str">
        <f aca="false">IF(M12="","",$E12*M12)</f>
        <v/>
      </c>
      <c r="Q12" s="33" t="s">
        <v>94</v>
      </c>
    </row>
    <row r="13" customFormat="false" ht="28.5" hidden="false" customHeight="true" outlineLevel="0" collapsed="false">
      <c r="A13" s="35" t="s">
        <v>95</v>
      </c>
      <c r="B13" s="36" t="s">
        <v>74</v>
      </c>
      <c r="C13" s="36" t="s">
        <v>96</v>
      </c>
      <c r="D13" s="31" t="s">
        <v>32</v>
      </c>
      <c r="E13" s="34" t="n">
        <f aca="false" t="array" ref="E13:E13">IFERROR(INDEX(Config!$C$7:$C$10,MATCH(D13,Config!$B$7:$B$10,0)),0)</f>
        <v>5</v>
      </c>
      <c r="F13" s="34"/>
      <c r="G13" s="12" t="n">
        <v>2</v>
      </c>
      <c r="H13" s="34" t="n">
        <f aca="false">IF(G13="","",$E13*G13)</f>
        <v>10</v>
      </c>
      <c r="I13" s="12"/>
      <c r="J13" s="34" t="str">
        <f aca="false">IF(I13="","",$E13*I13)</f>
        <v/>
      </c>
      <c r="K13" s="12"/>
      <c r="L13" s="34" t="str">
        <f aca="false">IF(K13="","",$E13*K13)</f>
        <v/>
      </c>
      <c r="M13" s="12"/>
      <c r="N13" s="34" t="str">
        <f aca="false">IF(M13="","",$E13*M13)</f>
        <v/>
      </c>
      <c r="O13" s="37" t="s">
        <v>97</v>
      </c>
      <c r="P13" s="38" t="s">
        <v>98</v>
      </c>
      <c r="Q13" s="33" t="s">
        <v>99</v>
      </c>
    </row>
    <row r="14" customFormat="false" ht="25.5" hidden="false" customHeight="true" outlineLevel="0" collapsed="false">
      <c r="A14" s="29" t="s">
        <v>100</v>
      </c>
      <c r="B14" s="30" t="s">
        <v>74</v>
      </c>
      <c r="C14" s="30" t="s">
        <v>101</v>
      </c>
      <c r="D14" s="31" t="s">
        <v>32</v>
      </c>
      <c r="E14" s="32" t="n">
        <f aca="false" t="array" ref="E14:E14">IFERROR(INDEX(Config!$C$7:$C$10,MATCH(D14,Config!$B$7:$B$10,0)),0)</f>
        <v>5</v>
      </c>
      <c r="F14" s="32"/>
      <c r="G14" s="12" t="n">
        <v>4</v>
      </c>
      <c r="H14" s="32" t="n">
        <f aca="false">IF(G14="","",$E14*G14)</f>
        <v>20</v>
      </c>
      <c r="I14" s="12"/>
      <c r="J14" s="32" t="str">
        <f aca="false">IF(I14="","",$E14*I14)</f>
        <v/>
      </c>
      <c r="K14" s="12"/>
      <c r="L14" s="32" t="str">
        <f aca="false">IF(K14="","",$E14*K14)</f>
        <v/>
      </c>
      <c r="M14" s="12"/>
      <c r="N14" s="32" t="str">
        <f aca="false">IF(M14="","",$E14*M14)</f>
        <v/>
      </c>
      <c r="Q14" s="33" t="s">
        <v>102</v>
      </c>
    </row>
    <row r="15" customFormat="false" ht="25.5" hidden="false" customHeight="true" outlineLevel="0" collapsed="false">
      <c r="A15" s="29" t="s">
        <v>103</v>
      </c>
      <c r="B15" s="30" t="s">
        <v>104</v>
      </c>
      <c r="C15" s="30" t="s">
        <v>105</v>
      </c>
      <c r="D15" s="31" t="s">
        <v>32</v>
      </c>
      <c r="E15" s="34" t="n">
        <f aca="false" t="array" ref="E15:E15">IFERROR(INDEX(Config!$C$7:$C$10,MATCH(D15,Config!$B$7:$B$10,0)),0)</f>
        <v>5</v>
      </c>
      <c r="F15" s="34"/>
      <c r="G15" s="12" t="n">
        <v>4</v>
      </c>
      <c r="H15" s="34" t="n">
        <f aca="false">IF(G15="","",$E15*G15)</f>
        <v>20</v>
      </c>
      <c r="I15" s="12"/>
      <c r="J15" s="34" t="str">
        <f aca="false">IF(I15="","",$E15*I15)</f>
        <v/>
      </c>
      <c r="K15" s="12"/>
      <c r="L15" s="34" t="str">
        <f aca="false">IF(K15="","",$E15*K15)</f>
        <v/>
      </c>
      <c r="M15" s="12"/>
      <c r="N15" s="34" t="str">
        <f aca="false">IF(M15="","",$E15*M15)</f>
        <v/>
      </c>
      <c r="Q15" s="33" t="s">
        <v>106</v>
      </c>
    </row>
    <row r="16" customFormat="false" ht="25.5" hidden="false" customHeight="true" outlineLevel="0" collapsed="false">
      <c r="A16" s="29" t="s">
        <v>107</v>
      </c>
      <c r="B16" s="30" t="s">
        <v>104</v>
      </c>
      <c r="C16" s="30" t="s">
        <v>108</v>
      </c>
      <c r="D16" s="31" t="s">
        <v>34</v>
      </c>
      <c r="E16" s="32" t="n">
        <f aca="false" t="array" ref="E16:E16">IFERROR(INDEX(Config!$C$7:$C$10,MATCH(D16,Config!$B$7:$B$10,0)),0)</f>
        <v>3</v>
      </c>
      <c r="F16" s="32"/>
      <c r="G16" s="12" t="n">
        <v>2</v>
      </c>
      <c r="H16" s="32" t="n">
        <f aca="false">IF(G16="","",$E16*G16)</f>
        <v>6</v>
      </c>
      <c r="I16" s="12"/>
      <c r="J16" s="32" t="str">
        <f aca="false">IF(I16="","",$E16*I16)</f>
        <v/>
      </c>
      <c r="K16" s="12"/>
      <c r="L16" s="32" t="str">
        <f aca="false">IF(K16="","",$E16*K16)</f>
        <v/>
      </c>
      <c r="M16" s="12"/>
      <c r="N16" s="32" t="str">
        <f aca="false">IF(M16="","",$E16*M16)</f>
        <v/>
      </c>
      <c r="Q16" s="33" t="s">
        <v>109</v>
      </c>
    </row>
    <row r="17" customFormat="false" ht="25.5" hidden="false" customHeight="true" outlineLevel="0" collapsed="false">
      <c r="A17" s="29" t="s">
        <v>110</v>
      </c>
      <c r="B17" s="30" t="s">
        <v>104</v>
      </c>
      <c r="C17" s="30" t="s">
        <v>111</v>
      </c>
      <c r="D17" s="31" t="s">
        <v>32</v>
      </c>
      <c r="E17" s="34" t="n">
        <f aca="false" t="array" ref="E17:E17">IFERROR(INDEX(Config!$C$7:$C$10,MATCH(D17,Config!$B$7:$B$10,0)),0)</f>
        <v>5</v>
      </c>
      <c r="F17" s="34"/>
      <c r="G17" s="12" t="n">
        <v>3</v>
      </c>
      <c r="H17" s="34" t="n">
        <f aca="false">IF(G17="","",$E17*G17)</f>
        <v>15</v>
      </c>
      <c r="I17" s="12"/>
      <c r="J17" s="34" t="str">
        <f aca="false">IF(I17="","",$E17*I17)</f>
        <v/>
      </c>
      <c r="K17" s="12"/>
      <c r="L17" s="34" t="str">
        <f aca="false">IF(K17="","",$E17*K17)</f>
        <v/>
      </c>
      <c r="M17" s="12"/>
      <c r="N17" s="34" t="str">
        <f aca="false">IF(M17="","",$E17*M17)</f>
        <v/>
      </c>
      <c r="Q17" s="33" t="s">
        <v>112</v>
      </c>
    </row>
    <row r="18" customFormat="false" ht="25.5" hidden="false" customHeight="true" outlineLevel="0" collapsed="false">
      <c r="A18" s="29" t="s">
        <v>113</v>
      </c>
      <c r="B18" s="30" t="s">
        <v>104</v>
      </c>
      <c r="C18" s="30" t="s">
        <v>114</v>
      </c>
      <c r="D18" s="31" t="s">
        <v>36</v>
      </c>
      <c r="E18" s="32" t="n">
        <f aca="false" t="array" ref="E18:E18">IFERROR(INDEX(Config!$C$7:$C$10,MATCH(D18,Config!$B$7:$B$10,0)),0)</f>
        <v>1</v>
      </c>
      <c r="F18" s="32"/>
      <c r="G18" s="12" t="n">
        <v>4</v>
      </c>
      <c r="H18" s="32" t="n">
        <f aca="false">IF(G18="","",$E18*G18)</f>
        <v>4</v>
      </c>
      <c r="I18" s="12"/>
      <c r="J18" s="32" t="str">
        <f aca="false">IF(I18="","",$E18*I18)</f>
        <v/>
      </c>
      <c r="K18" s="12"/>
      <c r="L18" s="32" t="str">
        <f aca="false">IF(K18="","",$E18*K18)</f>
        <v/>
      </c>
      <c r="M18" s="12"/>
      <c r="N18" s="32" t="str">
        <f aca="false">IF(M18="","",$E18*M18)</f>
        <v/>
      </c>
      <c r="Q18" s="33" t="s">
        <v>115</v>
      </c>
    </row>
    <row r="19" customFormat="false" ht="25.5" hidden="false" customHeight="true" outlineLevel="0" collapsed="false">
      <c r="A19" s="29" t="s">
        <v>116</v>
      </c>
      <c r="B19" s="30" t="s">
        <v>104</v>
      </c>
      <c r="C19" s="30" t="s">
        <v>117</v>
      </c>
      <c r="D19" s="31" t="s">
        <v>36</v>
      </c>
      <c r="E19" s="34" t="n">
        <f aca="false" t="array" ref="E19:E19">IFERROR(INDEX(Config!$C$7:$C$10,MATCH(D19,Config!$B$7:$B$10,0)),0)</f>
        <v>1</v>
      </c>
      <c r="F19" s="34"/>
      <c r="G19" s="12" t="n">
        <v>4</v>
      </c>
      <c r="H19" s="34" t="n">
        <f aca="false">IF(G19="","",$E19*G19)</f>
        <v>4</v>
      </c>
      <c r="I19" s="12"/>
      <c r="J19" s="34" t="str">
        <f aca="false">IF(I19="","",$E19*I19)</f>
        <v/>
      </c>
      <c r="K19" s="12"/>
      <c r="L19" s="34" t="str">
        <f aca="false">IF(K19="","",$E19*K19)</f>
        <v/>
      </c>
      <c r="M19" s="12"/>
      <c r="N19" s="34" t="str">
        <f aca="false">IF(M19="","",$E19*M19)</f>
        <v/>
      </c>
      <c r="Q19" s="33" t="s">
        <v>118</v>
      </c>
    </row>
    <row r="20" customFormat="false" ht="25.5" hidden="false" customHeight="true" outlineLevel="0" collapsed="false">
      <c r="A20" s="29" t="s">
        <v>119</v>
      </c>
      <c r="B20" s="30" t="s">
        <v>104</v>
      </c>
      <c r="C20" s="30" t="s">
        <v>120</v>
      </c>
      <c r="D20" s="31" t="s">
        <v>36</v>
      </c>
      <c r="E20" s="32" t="n">
        <f aca="false" t="array" ref="E20:E20">IFERROR(INDEX(Config!$C$7:$C$10,MATCH(D20,Config!$B$7:$B$10,0)),0)</f>
        <v>1</v>
      </c>
      <c r="F20" s="32"/>
      <c r="G20" s="12" t="n">
        <v>4</v>
      </c>
      <c r="H20" s="32" t="n">
        <f aca="false">IF(G20="","",$E20*G20)</f>
        <v>4</v>
      </c>
      <c r="I20" s="12"/>
      <c r="J20" s="32" t="str">
        <f aca="false">IF(I20="","",$E20*I20)</f>
        <v/>
      </c>
      <c r="K20" s="12"/>
      <c r="L20" s="32" t="str">
        <f aca="false">IF(K20="","",$E20*K20)</f>
        <v/>
      </c>
      <c r="M20" s="12"/>
      <c r="N20" s="32" t="str">
        <f aca="false">IF(M20="","",$E20*M20)</f>
        <v/>
      </c>
      <c r="Q20" s="33" t="s">
        <v>121</v>
      </c>
    </row>
    <row r="21" customFormat="false" ht="25.5" hidden="false" customHeight="true" outlineLevel="0" collapsed="false">
      <c r="A21" s="29" t="s">
        <v>122</v>
      </c>
      <c r="B21" s="30" t="s">
        <v>104</v>
      </c>
      <c r="C21" s="30" t="s">
        <v>123</v>
      </c>
      <c r="D21" s="31" t="s">
        <v>36</v>
      </c>
      <c r="E21" s="34" t="n">
        <f aca="false" t="array" ref="E21:E21">IFERROR(INDEX(Config!$C$7:$C$10,MATCH(D21,Config!$B$7:$B$10,0)),0)</f>
        <v>1</v>
      </c>
      <c r="F21" s="34"/>
      <c r="G21" s="12" t="n">
        <v>3</v>
      </c>
      <c r="H21" s="34" t="n">
        <f aca="false">IF(G21="","",$E21*G21)</f>
        <v>3</v>
      </c>
      <c r="I21" s="12"/>
      <c r="J21" s="34" t="str">
        <f aca="false">IF(I21="","",$E21*I21)</f>
        <v/>
      </c>
      <c r="K21" s="12"/>
      <c r="L21" s="34" t="str">
        <f aca="false">IF(K21="","",$E21*K21)</f>
        <v/>
      </c>
      <c r="M21" s="12"/>
      <c r="N21" s="34" t="str">
        <f aca="false">IF(M21="","",$E21*M21)</f>
        <v/>
      </c>
      <c r="Q21" s="33" t="s">
        <v>124</v>
      </c>
    </row>
    <row r="22" customFormat="false" ht="25.5" hidden="false" customHeight="true" outlineLevel="0" collapsed="false">
      <c r="A22" s="39" t="s">
        <v>125</v>
      </c>
      <c r="B22" s="40" t="s">
        <v>104</v>
      </c>
      <c r="C22" s="40" t="s">
        <v>126</v>
      </c>
      <c r="D22" s="31" t="s">
        <v>32</v>
      </c>
      <c r="E22" s="32" t="n">
        <f aca="false" t="array" ref="E22:E22">IFERROR(INDEX(Config!$C$7:$C$10,MATCH(D22,Config!$B$7:$B$10,0)),0)</f>
        <v>5</v>
      </c>
      <c r="F22" s="32"/>
      <c r="G22" s="12" t="n">
        <v>4</v>
      </c>
      <c r="H22" s="32" t="n">
        <f aca="false">IF(G22="","",$E22*G22)</f>
        <v>20</v>
      </c>
      <c r="I22" s="12"/>
      <c r="J22" s="32" t="str">
        <f aca="false">IF(I22="","",$E22*I22)</f>
        <v/>
      </c>
      <c r="K22" s="12"/>
      <c r="L22" s="32" t="str">
        <f aca="false">IF(K22="","",$E22*K22)</f>
        <v/>
      </c>
      <c r="M22" s="12"/>
      <c r="N22" s="32" t="str">
        <f aca="false">IF(M22="","",$E22*M22)</f>
        <v/>
      </c>
      <c r="O22" s="38" t="s">
        <v>97</v>
      </c>
      <c r="P22" s="38" t="s">
        <v>127</v>
      </c>
      <c r="Q22" s="33" t="s">
        <v>128</v>
      </c>
    </row>
    <row r="23" customFormat="false" ht="25.5" hidden="false" customHeight="true" outlineLevel="0" collapsed="false">
      <c r="A23" s="29" t="s">
        <v>129</v>
      </c>
      <c r="B23" s="30" t="s">
        <v>104</v>
      </c>
      <c r="C23" s="30" t="s">
        <v>130</v>
      </c>
      <c r="D23" s="31" t="s">
        <v>32</v>
      </c>
      <c r="E23" s="34" t="n">
        <f aca="false" t="array" ref="E23:E23">IFERROR(INDEX(Config!$C$7:$C$10,MATCH(D23,Config!$B$7:$B$10,0)),0)</f>
        <v>5</v>
      </c>
      <c r="F23" s="34"/>
      <c r="G23" s="12" t="n">
        <v>3</v>
      </c>
      <c r="H23" s="34" t="n">
        <f aca="false">IF(G23="","",$E23*G23)</f>
        <v>15</v>
      </c>
      <c r="I23" s="12"/>
      <c r="J23" s="34" t="str">
        <f aca="false">IF(I23="","",$E23*I23)</f>
        <v/>
      </c>
      <c r="K23" s="12"/>
      <c r="L23" s="34" t="str">
        <f aca="false">IF(K23="","",$E23*K23)</f>
        <v/>
      </c>
      <c r="M23" s="12"/>
      <c r="N23" s="34" t="str">
        <f aca="false">IF(M23="","",$E23*M23)</f>
        <v/>
      </c>
      <c r="Q23" s="33" t="s">
        <v>131</v>
      </c>
    </row>
    <row r="24" customFormat="false" ht="25.5" hidden="false" customHeight="true" outlineLevel="0" collapsed="false">
      <c r="A24" s="29" t="s">
        <v>132</v>
      </c>
      <c r="B24" s="30" t="s">
        <v>104</v>
      </c>
      <c r="C24" s="30" t="s">
        <v>133</v>
      </c>
      <c r="D24" s="31" t="s">
        <v>32</v>
      </c>
      <c r="E24" s="32" t="n">
        <f aca="false" t="array" ref="E24:E24">IFERROR(INDEX(Config!$C$7:$C$10,MATCH(D24,Config!$B$7:$B$10,0)),0)</f>
        <v>5</v>
      </c>
      <c r="F24" s="32"/>
      <c r="G24" s="12" t="n">
        <v>3</v>
      </c>
      <c r="H24" s="32" t="n">
        <f aca="false">IF(G24="","",$E24*G24)</f>
        <v>15</v>
      </c>
      <c r="I24" s="12"/>
      <c r="J24" s="32" t="str">
        <f aca="false">IF(I24="","",$E24*I24)</f>
        <v/>
      </c>
      <c r="K24" s="12"/>
      <c r="L24" s="32" t="str">
        <f aca="false">IF(K24="","",$E24*K24)</f>
        <v/>
      </c>
      <c r="M24" s="12"/>
      <c r="N24" s="32" t="str">
        <f aca="false">IF(M24="","",$E24*M24)</f>
        <v/>
      </c>
      <c r="Q24" s="33" t="s">
        <v>134</v>
      </c>
    </row>
    <row r="25" customFormat="false" ht="25.5" hidden="false" customHeight="true" outlineLevel="0" collapsed="false">
      <c r="A25" s="41" t="s">
        <v>135</v>
      </c>
      <c r="B25" s="42" t="s">
        <v>136</v>
      </c>
      <c r="C25" s="42" t="s">
        <v>137</v>
      </c>
      <c r="D25" s="31" t="s">
        <v>32</v>
      </c>
      <c r="E25" s="34" t="n">
        <f aca="false" t="array" ref="E25:E25">IFERROR(INDEX(Config!$C$7:$C$10,MATCH(D25,Config!$B$7:$B$10,0)),0)</f>
        <v>5</v>
      </c>
      <c r="F25" s="34"/>
      <c r="G25" s="12"/>
      <c r="H25" s="34" t="str">
        <f aca="false">IF(G25="","",$E25*G25)</f>
        <v/>
      </c>
      <c r="I25" s="12"/>
      <c r="J25" s="34" t="str">
        <f aca="false">IF(I25="","",$E25*I25)</f>
        <v/>
      </c>
      <c r="K25" s="12"/>
      <c r="L25" s="34" t="str">
        <f aca="false">IF(K25="","",$E25*K25)</f>
        <v/>
      </c>
      <c r="M25" s="12"/>
      <c r="N25" s="34" t="str">
        <f aca="false">IF(M25="","",$E25*M25)</f>
        <v/>
      </c>
      <c r="O25" s="38" t="s">
        <v>138</v>
      </c>
      <c r="P25" s="38" t="s">
        <v>139</v>
      </c>
      <c r="Q25" s="33" t="s">
        <v>140</v>
      </c>
    </row>
    <row r="26" customFormat="false" ht="14.25" hidden="false" customHeight="true" outlineLevel="0" collapsed="false">
      <c r="A26" s="29" t="s">
        <v>141</v>
      </c>
      <c r="B26" s="30" t="s">
        <v>136</v>
      </c>
      <c r="C26" s="30" t="s">
        <v>142</v>
      </c>
      <c r="D26" s="31" t="s">
        <v>32</v>
      </c>
      <c r="E26" s="32" t="n">
        <f aca="false" t="array" ref="E26:E26">IFERROR(INDEX(Config!$C$7:$C$10,MATCH(D26,Config!$B$7:$B$10,0)),0)</f>
        <v>5</v>
      </c>
      <c r="F26" s="32"/>
      <c r="G26" s="12" t="n">
        <v>4</v>
      </c>
      <c r="H26" s="32" t="n">
        <f aca="false">IF(G26="","",$E26*G26)</f>
        <v>20</v>
      </c>
      <c r="I26" s="12"/>
      <c r="J26" s="32" t="str">
        <f aca="false">IF(I26="","",$E26*I26)</f>
        <v/>
      </c>
      <c r="K26" s="12"/>
      <c r="L26" s="32" t="str">
        <f aca="false">IF(K26="","",$E26*K26)</f>
        <v/>
      </c>
      <c r="M26" s="12"/>
      <c r="N26" s="32" t="str">
        <f aca="false">IF(M26="","",$E26*M26)</f>
        <v/>
      </c>
      <c r="Q26" s="33" t="s">
        <v>143</v>
      </c>
    </row>
    <row r="27" customFormat="false" ht="14.25" hidden="false" customHeight="true" outlineLevel="0" collapsed="false">
      <c r="A27" s="41" t="s">
        <v>144</v>
      </c>
      <c r="B27" s="42" t="s">
        <v>136</v>
      </c>
      <c r="C27" s="42" t="s">
        <v>145</v>
      </c>
      <c r="D27" s="31" t="s">
        <v>32</v>
      </c>
      <c r="E27" s="34" t="n">
        <f aca="false" t="array" ref="E27:E27">IFERROR(INDEX(Config!$C$7:$C$10,MATCH(D27,Config!$B$7:$B$10,0)),0)</f>
        <v>5</v>
      </c>
      <c r="F27" s="34"/>
      <c r="G27" s="12"/>
      <c r="H27" s="34" t="str">
        <f aca="false">IF(G27="","",$E27*G27)</f>
        <v/>
      </c>
      <c r="I27" s="12"/>
      <c r="J27" s="34" t="str">
        <f aca="false">IF(I27="","",$E27*I27)</f>
        <v/>
      </c>
      <c r="K27" s="12"/>
      <c r="L27" s="34" t="str">
        <f aca="false">IF(K27="","",$E27*K27)</f>
        <v/>
      </c>
      <c r="M27" s="12"/>
      <c r="N27" s="34" t="str">
        <f aca="false">IF(M27="","",$E27*M27)</f>
        <v/>
      </c>
      <c r="O27" s="38" t="s">
        <v>138</v>
      </c>
      <c r="P27" s="38" t="s">
        <v>146</v>
      </c>
      <c r="Q27" s="33" t="s">
        <v>140</v>
      </c>
    </row>
    <row r="28" customFormat="false" ht="38.25" hidden="false" customHeight="true" outlineLevel="0" collapsed="false">
      <c r="A28" s="43" t="s">
        <v>147</v>
      </c>
      <c r="B28" s="44" t="s">
        <v>136</v>
      </c>
      <c r="C28" s="44" t="s">
        <v>148</v>
      </c>
      <c r="D28" s="31" t="s">
        <v>32</v>
      </c>
      <c r="E28" s="32" t="n">
        <f aca="false" t="array" ref="E28:E28">IFERROR(INDEX(Config!$C$7:$C$10,MATCH(D28,Config!$B$7:$B$10,0)),0)</f>
        <v>5</v>
      </c>
      <c r="F28" s="32"/>
      <c r="G28" s="12" t="n">
        <v>3</v>
      </c>
      <c r="H28" s="32" t="n">
        <f aca="false">IF(G28="","",$E28*G28)</f>
        <v>15</v>
      </c>
      <c r="I28" s="12"/>
      <c r="J28" s="32" t="str">
        <f aca="false">IF(I28="","",$E28*I28)</f>
        <v/>
      </c>
      <c r="K28" s="12"/>
      <c r="L28" s="32" t="str">
        <f aca="false">IF(K28="","",$E28*K28)</f>
        <v/>
      </c>
      <c r="M28" s="12"/>
      <c r="N28" s="32" t="str">
        <f aca="false">IF(M28="","",$E28*M28)</f>
        <v/>
      </c>
      <c r="O28" s="38" t="s">
        <v>149</v>
      </c>
      <c r="P28" s="38" t="s">
        <v>150</v>
      </c>
      <c r="Q28" s="33" t="s">
        <v>151</v>
      </c>
    </row>
    <row r="29" customFormat="false" ht="25.5" hidden="false" customHeight="true" outlineLevel="0" collapsed="false">
      <c r="A29" s="29" t="s">
        <v>152</v>
      </c>
      <c r="B29" s="30" t="s">
        <v>136</v>
      </c>
      <c r="C29" s="30" t="s">
        <v>153</v>
      </c>
      <c r="D29" s="31" t="s">
        <v>32</v>
      </c>
      <c r="E29" s="34" t="n">
        <f aca="false" t="array" ref="E29:E29">IFERROR(INDEX(Config!$C$7:$C$10,MATCH(D29,Config!$B$7:$B$10,0)),0)</f>
        <v>5</v>
      </c>
      <c r="F29" s="34"/>
      <c r="G29" s="12" t="n">
        <v>3</v>
      </c>
      <c r="H29" s="34" t="n">
        <f aca="false">IF(G29="","",$E29*G29)</f>
        <v>15</v>
      </c>
      <c r="I29" s="12"/>
      <c r="J29" s="34" t="str">
        <f aca="false">IF(I29="","",$E29*I29)</f>
        <v/>
      </c>
      <c r="K29" s="12"/>
      <c r="L29" s="34" t="str">
        <f aca="false">IF(K29="","",$E29*K29)</f>
        <v/>
      </c>
      <c r="M29" s="12"/>
      <c r="N29" s="34" t="str">
        <f aca="false">IF(M29="","",$E29*M29)</f>
        <v/>
      </c>
      <c r="Q29" s="33" t="s">
        <v>154</v>
      </c>
    </row>
    <row r="30" customFormat="false" ht="38.25" hidden="false" customHeight="true" outlineLevel="0" collapsed="false">
      <c r="A30" s="43" t="s">
        <v>155</v>
      </c>
      <c r="B30" s="44" t="s">
        <v>136</v>
      </c>
      <c r="C30" s="44" t="s">
        <v>156</v>
      </c>
      <c r="D30" s="31" t="s">
        <v>32</v>
      </c>
      <c r="E30" s="32" t="n">
        <f aca="false" t="array" ref="E30:E30">IFERROR(INDEX(Config!$C$7:$C$10,MATCH(D30,Config!$B$7:$B$10,0)),0)</f>
        <v>5</v>
      </c>
      <c r="F30" s="32"/>
      <c r="G30" s="12" t="n">
        <v>3</v>
      </c>
      <c r="H30" s="32" t="n">
        <f aca="false">IF(G30="","",$E30*G30)</f>
        <v>15</v>
      </c>
      <c r="I30" s="12"/>
      <c r="J30" s="32" t="str">
        <f aca="false">IF(I30="","",$E30*I30)</f>
        <v/>
      </c>
      <c r="K30" s="12"/>
      <c r="L30" s="32" t="str">
        <f aca="false">IF(K30="","",$E30*K30)</f>
        <v/>
      </c>
      <c r="M30" s="12"/>
      <c r="N30" s="32" t="str">
        <f aca="false">IF(M30="","",$E30*M30)</f>
        <v/>
      </c>
      <c r="O30" s="38" t="s">
        <v>149</v>
      </c>
      <c r="P30" s="38" t="s">
        <v>157</v>
      </c>
      <c r="Q30" s="33" t="s">
        <v>158</v>
      </c>
    </row>
    <row r="31" customFormat="false" ht="25.5" hidden="false" customHeight="true" outlineLevel="0" collapsed="false">
      <c r="A31" s="29" t="s">
        <v>159</v>
      </c>
      <c r="B31" s="30" t="s">
        <v>136</v>
      </c>
      <c r="C31" s="30" t="s">
        <v>160</v>
      </c>
      <c r="D31" s="31" t="s">
        <v>34</v>
      </c>
      <c r="E31" s="34" t="n">
        <f aca="false" t="array" ref="E31:E31">IFERROR(INDEX(Config!$C$7:$C$10,MATCH(D31,Config!$B$7:$B$10,0)),0)</f>
        <v>3</v>
      </c>
      <c r="F31" s="34"/>
      <c r="G31" s="12" t="n">
        <v>3</v>
      </c>
      <c r="H31" s="34" t="n">
        <f aca="false">IF(G31="","",$E31*G31)</f>
        <v>9</v>
      </c>
      <c r="I31" s="12"/>
      <c r="J31" s="34" t="str">
        <f aca="false">IF(I31="","",$E31*I31)</f>
        <v/>
      </c>
      <c r="K31" s="12"/>
      <c r="L31" s="34" t="str">
        <f aca="false">IF(K31="","",$E31*K31)</f>
        <v/>
      </c>
      <c r="M31" s="12"/>
      <c r="N31" s="34" t="str">
        <f aca="false">IF(M31="","",$E31*M31)</f>
        <v/>
      </c>
      <c r="Q31" s="33" t="s">
        <v>161</v>
      </c>
    </row>
    <row r="32" customFormat="false" ht="25.5" hidden="false" customHeight="true" outlineLevel="0" collapsed="false">
      <c r="A32" s="29" t="s">
        <v>162</v>
      </c>
      <c r="B32" s="30" t="s">
        <v>163</v>
      </c>
      <c r="C32" s="30" t="s">
        <v>164</v>
      </c>
      <c r="D32" s="31" t="s">
        <v>32</v>
      </c>
      <c r="E32" s="32" t="n">
        <f aca="false" t="array" ref="E32:E32">IFERROR(INDEX(Config!$C$7:$C$10,MATCH(D32,Config!$B$7:$B$10,0)),0)</f>
        <v>5</v>
      </c>
      <c r="F32" s="32"/>
      <c r="G32" s="12" t="n">
        <v>4</v>
      </c>
      <c r="H32" s="32" t="n">
        <f aca="false">IF(G32="","",$E32*G32)</f>
        <v>20</v>
      </c>
      <c r="I32" s="12"/>
      <c r="J32" s="32" t="str">
        <f aca="false">IF(I32="","",$E32*I32)</f>
        <v/>
      </c>
      <c r="K32" s="12"/>
      <c r="L32" s="32" t="str">
        <f aca="false">IF(K32="","",$E32*K32)</f>
        <v/>
      </c>
      <c r="M32" s="12"/>
      <c r="N32" s="32" t="str">
        <f aca="false">IF(M32="","",$E32*M32)</f>
        <v/>
      </c>
      <c r="Q32" s="33" t="s">
        <v>165</v>
      </c>
    </row>
    <row r="33" customFormat="false" ht="25.5" hidden="false" customHeight="true" outlineLevel="0" collapsed="false">
      <c r="A33" s="29" t="s">
        <v>166</v>
      </c>
      <c r="B33" s="30" t="s">
        <v>163</v>
      </c>
      <c r="C33" s="30" t="s">
        <v>167</v>
      </c>
      <c r="D33" s="31" t="s">
        <v>32</v>
      </c>
      <c r="E33" s="34" t="n">
        <f aca="false" t="array" ref="E33:E33">IFERROR(INDEX(Config!$C$7:$C$10,MATCH(D33,Config!$B$7:$B$10,0)),0)</f>
        <v>5</v>
      </c>
      <c r="F33" s="34"/>
      <c r="G33" s="12" t="n">
        <v>4</v>
      </c>
      <c r="H33" s="34" t="n">
        <f aca="false">IF(G33="","",$E33*G33)</f>
        <v>20</v>
      </c>
      <c r="I33" s="12"/>
      <c r="J33" s="34" t="str">
        <f aca="false">IF(I33="","",$E33*I33)</f>
        <v/>
      </c>
      <c r="K33" s="12"/>
      <c r="L33" s="34" t="str">
        <f aca="false">IF(K33="","",$E33*K33)</f>
        <v/>
      </c>
      <c r="M33" s="12"/>
      <c r="N33" s="34" t="str">
        <f aca="false">IF(M33="","",$E33*M33)</f>
        <v/>
      </c>
      <c r="Q33" s="33" t="s">
        <v>168</v>
      </c>
    </row>
    <row r="34" customFormat="false" ht="25.5" hidden="false" customHeight="true" outlineLevel="0" collapsed="false">
      <c r="A34" s="29" t="s">
        <v>169</v>
      </c>
      <c r="B34" s="30" t="s">
        <v>163</v>
      </c>
      <c r="C34" s="30" t="s">
        <v>170</v>
      </c>
      <c r="D34" s="31" t="s">
        <v>34</v>
      </c>
      <c r="E34" s="34" t="n">
        <f aca="false" t="array" ref="E34:E34">IFERROR(INDEX(Config!$C$7:$C$10,MATCH(D34,Config!$B$7:$B$10,0)),0)</f>
        <v>3</v>
      </c>
      <c r="F34" s="34"/>
      <c r="G34" s="12" t="n">
        <v>3</v>
      </c>
      <c r="H34" s="34" t="n">
        <f aca="false">IF(G34="","",$E34*G34)</f>
        <v>9</v>
      </c>
      <c r="I34" s="12"/>
      <c r="J34" s="34" t="str">
        <f aca="false">IF(I34="","",$E34*I34)</f>
        <v/>
      </c>
      <c r="K34" s="12"/>
      <c r="L34" s="34" t="str">
        <f aca="false">IF(K34="","",$E34*K34)</f>
        <v/>
      </c>
      <c r="M34" s="12"/>
      <c r="N34" s="34" t="str">
        <f aca="false">IF(M34="","",$E34*M34)</f>
        <v/>
      </c>
      <c r="O34" s="38"/>
      <c r="Q34" s="33" t="s">
        <v>171</v>
      </c>
    </row>
    <row r="35" customFormat="false" ht="38.25" hidden="false" customHeight="true" outlineLevel="0" collapsed="false">
      <c r="A35" s="29" t="s">
        <v>172</v>
      </c>
      <c r="B35" s="30" t="s">
        <v>163</v>
      </c>
      <c r="C35" s="30" t="s">
        <v>173</v>
      </c>
      <c r="D35" s="31" t="s">
        <v>32</v>
      </c>
      <c r="E35" s="34" t="n">
        <f aca="false" t="array" ref="E35:E35">IFERROR(INDEX(Config!$C$7:$C$10,MATCH(D35,Config!$B$7:$B$10,0)),0)</f>
        <v>5</v>
      </c>
      <c r="F35" s="34"/>
      <c r="G35" s="12" t="n">
        <v>3</v>
      </c>
      <c r="H35" s="34" t="n">
        <f aca="false">IF(G35="","",$E35*G35)</f>
        <v>15</v>
      </c>
      <c r="I35" s="12"/>
      <c r="J35" s="34" t="str">
        <f aca="false">IF(I35="","",$E35*I35)</f>
        <v/>
      </c>
      <c r="K35" s="12"/>
      <c r="L35" s="34" t="str">
        <f aca="false">IF(K35="","",$E35*K35)</f>
        <v/>
      </c>
      <c r="M35" s="12"/>
      <c r="N35" s="34" t="str">
        <f aca="false">IF(M35="","",$E35*M35)</f>
        <v/>
      </c>
      <c r="Q35" s="33" t="s">
        <v>174</v>
      </c>
    </row>
    <row r="36" customFormat="false" ht="38.25" hidden="false" customHeight="true" outlineLevel="0" collapsed="false">
      <c r="A36" s="29" t="s">
        <v>175</v>
      </c>
      <c r="B36" s="30" t="s">
        <v>163</v>
      </c>
      <c r="C36" s="30" t="s">
        <v>176</v>
      </c>
      <c r="D36" s="31" t="s">
        <v>34</v>
      </c>
      <c r="E36" s="34" t="n">
        <f aca="false" t="array" ref="E36:E36">IFERROR(INDEX(Config!$C$7:$C$10,MATCH(D36,Config!$B$7:$B$10,0)),0)</f>
        <v>3</v>
      </c>
      <c r="F36" s="34"/>
      <c r="G36" s="12" t="n">
        <v>3</v>
      </c>
      <c r="H36" s="34" t="n">
        <f aca="false">IF(G36="","",$E36*G36)</f>
        <v>9</v>
      </c>
      <c r="I36" s="12"/>
      <c r="J36" s="34" t="str">
        <f aca="false">IF(I36="","",$E36*I36)</f>
        <v/>
      </c>
      <c r="K36" s="12"/>
      <c r="L36" s="34" t="str">
        <f aca="false">IF(K36="","",$E36*K36)</f>
        <v/>
      </c>
      <c r="M36" s="12"/>
      <c r="N36" s="34" t="str">
        <f aca="false">IF(M36="","",$E36*M36)</f>
        <v/>
      </c>
      <c r="Q36" s="33" t="s">
        <v>177</v>
      </c>
    </row>
    <row r="37" customFormat="false" ht="25.5" hidden="false" customHeight="true" outlineLevel="0" collapsed="false">
      <c r="A37" s="29" t="s">
        <v>178</v>
      </c>
      <c r="B37" s="30" t="s">
        <v>163</v>
      </c>
      <c r="C37" s="30" t="s">
        <v>179</v>
      </c>
      <c r="D37" s="31" t="s">
        <v>32</v>
      </c>
      <c r="E37" s="34" t="n">
        <f aca="false" t="array" ref="E37:E37">IFERROR(INDEX(Config!$C$7:$C$10,MATCH(D37,Config!$B$7:$B$10,0)),0)</f>
        <v>5</v>
      </c>
      <c r="F37" s="34"/>
      <c r="G37" s="12" t="n">
        <v>4</v>
      </c>
      <c r="H37" s="34" t="n">
        <f aca="false">IF(G37="","",$E37*G37)</f>
        <v>20</v>
      </c>
      <c r="I37" s="12"/>
      <c r="J37" s="34" t="str">
        <f aca="false">IF(I37="","",$E37*I37)</f>
        <v/>
      </c>
      <c r="K37" s="12"/>
      <c r="L37" s="34" t="str">
        <f aca="false">IF(K37="","",$E37*K37)</f>
        <v/>
      </c>
      <c r="M37" s="12"/>
      <c r="N37" s="34" t="str">
        <f aca="false">IF(M37="","",$E37*M37)</f>
        <v/>
      </c>
      <c r="Q37" s="33" t="s">
        <v>180</v>
      </c>
    </row>
    <row r="38" customFormat="false" ht="25.5" hidden="false" customHeight="true" outlineLevel="0" collapsed="false">
      <c r="A38" s="35" t="s">
        <v>181</v>
      </c>
      <c r="B38" s="36" t="s">
        <v>182</v>
      </c>
      <c r="C38" s="36" t="s">
        <v>183</v>
      </c>
      <c r="D38" s="31" t="s">
        <v>32</v>
      </c>
      <c r="E38" s="34" t="n">
        <f aca="false" t="array" ref="E38:E38">IFERROR(INDEX(Config!$C$7:$C$10,MATCH(D38,Config!$B$7:$B$10,0)),0)</f>
        <v>5</v>
      </c>
      <c r="F38" s="34"/>
      <c r="G38" s="12" t="n">
        <v>4</v>
      </c>
      <c r="H38" s="34" t="n">
        <f aca="false">IF(G38="","",$E38*G38)</f>
        <v>20</v>
      </c>
      <c r="I38" s="12"/>
      <c r="J38" s="34" t="str">
        <f aca="false">IF(I38="","",$E38*I38)</f>
        <v/>
      </c>
      <c r="K38" s="12"/>
      <c r="L38" s="34" t="str">
        <f aca="false">IF(K38="","",$E38*K38)</f>
        <v/>
      </c>
      <c r="M38" s="12"/>
      <c r="N38" s="34" t="str">
        <f aca="false">IF(M38="","",$E38*M38)</f>
        <v/>
      </c>
      <c r="O38" s="38" t="s">
        <v>97</v>
      </c>
      <c r="P38" s="38" t="s">
        <v>184</v>
      </c>
      <c r="Q38" s="33" t="s">
        <v>185</v>
      </c>
    </row>
    <row r="39" customFormat="false" ht="25.5" hidden="false" customHeight="true" outlineLevel="0" collapsed="false">
      <c r="A39" s="29" t="s">
        <v>186</v>
      </c>
      <c r="B39" s="30" t="s">
        <v>182</v>
      </c>
      <c r="C39" s="30" t="s">
        <v>187</v>
      </c>
      <c r="D39" s="31" t="s">
        <v>32</v>
      </c>
      <c r="E39" s="34" t="n">
        <f aca="false" t="array" ref="E39:E39">IFERROR(INDEX(Config!$C$7:$C$10,MATCH(D39,Config!$B$7:$B$10,0)),0)</f>
        <v>5</v>
      </c>
      <c r="F39" s="34"/>
      <c r="G39" s="12" t="n">
        <v>4</v>
      </c>
      <c r="H39" s="34" t="n">
        <f aca="false">IF(G39="","",$E39*G39)</f>
        <v>20</v>
      </c>
      <c r="I39" s="12"/>
      <c r="J39" s="34" t="str">
        <f aca="false">IF(I39="","",$E39*I39)</f>
        <v/>
      </c>
      <c r="K39" s="12"/>
      <c r="L39" s="34" t="str">
        <f aca="false">IF(K39="","",$E39*K39)</f>
        <v/>
      </c>
      <c r="M39" s="12"/>
      <c r="N39" s="34" t="str">
        <f aca="false">IF(M39="","",$E39*M39)</f>
        <v/>
      </c>
      <c r="Q39" s="33" t="s">
        <v>188</v>
      </c>
    </row>
    <row r="40" customFormat="false" ht="25.5" hidden="false" customHeight="true" outlineLevel="0" collapsed="false">
      <c r="A40" s="29" t="s">
        <v>189</v>
      </c>
      <c r="B40" s="30" t="s">
        <v>182</v>
      </c>
      <c r="C40" s="30" t="s">
        <v>190</v>
      </c>
      <c r="D40" s="31" t="s">
        <v>36</v>
      </c>
      <c r="E40" s="34" t="n">
        <f aca="false" t="array" ref="E40:E40">IFERROR(INDEX(Config!$C$7:$C$10,MATCH(D40,Config!$B$7:$B$10,0)),0)</f>
        <v>1</v>
      </c>
      <c r="F40" s="34"/>
      <c r="G40" s="12" t="n">
        <v>2</v>
      </c>
      <c r="H40" s="34" t="n">
        <f aca="false">IF(G40="","",$E40*G40)</f>
        <v>2</v>
      </c>
      <c r="I40" s="12"/>
      <c r="J40" s="34" t="str">
        <f aca="false">IF(I40="","",$E40*I40)</f>
        <v/>
      </c>
      <c r="K40" s="12"/>
      <c r="L40" s="34" t="str">
        <f aca="false">IF(K40="","",$E40*K40)</f>
        <v/>
      </c>
      <c r="M40" s="12"/>
      <c r="N40" s="34" t="str">
        <f aca="false">IF(M40="","",$E40*M40)</f>
        <v/>
      </c>
      <c r="Q40" s="33" t="s">
        <v>191</v>
      </c>
    </row>
    <row r="41" customFormat="false" ht="25.5" hidden="false" customHeight="true" outlineLevel="0" collapsed="false">
      <c r="A41" s="29" t="s">
        <v>192</v>
      </c>
      <c r="B41" s="30" t="s">
        <v>182</v>
      </c>
      <c r="C41" s="30" t="s">
        <v>193</v>
      </c>
      <c r="D41" s="31" t="s">
        <v>34</v>
      </c>
      <c r="E41" s="34" t="n">
        <f aca="false" t="array" ref="E41:E41">IFERROR(INDEX(Config!$C$7:$C$10,MATCH(D41,Config!$B$7:$B$10,0)),0)</f>
        <v>3</v>
      </c>
      <c r="F41" s="34"/>
      <c r="G41" s="12" t="n">
        <v>3</v>
      </c>
      <c r="H41" s="34" t="n">
        <f aca="false">IF(G41="","",$E41*G41)</f>
        <v>9</v>
      </c>
      <c r="I41" s="12"/>
      <c r="J41" s="34" t="str">
        <f aca="false">IF(I41="","",$E41*I41)</f>
        <v/>
      </c>
      <c r="K41" s="12"/>
      <c r="L41" s="34" t="str">
        <f aca="false">IF(K41="","",$E41*K41)</f>
        <v/>
      </c>
      <c r="M41" s="12"/>
      <c r="N41" s="34" t="str">
        <f aca="false">IF(M41="","",$E41*M41)</f>
        <v/>
      </c>
      <c r="Q41" s="33" t="s">
        <v>194</v>
      </c>
    </row>
    <row r="42" customFormat="false" ht="38.25" hidden="false" customHeight="true" outlineLevel="0" collapsed="false">
      <c r="A42" s="29" t="s">
        <v>195</v>
      </c>
      <c r="B42" s="30" t="s">
        <v>182</v>
      </c>
      <c r="C42" s="30" t="s">
        <v>196</v>
      </c>
      <c r="D42" s="31" t="s">
        <v>34</v>
      </c>
      <c r="E42" s="34" t="n">
        <f aca="false" t="array" ref="E42:E42">IFERROR(INDEX(Config!$C$7:$C$10,MATCH(D42,Config!$B$7:$B$10,0)),0)</f>
        <v>3</v>
      </c>
      <c r="F42" s="34"/>
      <c r="G42" s="12" t="n">
        <v>2</v>
      </c>
      <c r="H42" s="34" t="n">
        <f aca="false">IF(G42="","",$E42*G42)</f>
        <v>6</v>
      </c>
      <c r="I42" s="12"/>
      <c r="J42" s="34" t="str">
        <f aca="false">IF(I42="","",$E42*I42)</f>
        <v/>
      </c>
      <c r="K42" s="12"/>
      <c r="L42" s="34" t="str">
        <f aca="false">IF(K42="","",$E42*K42)</f>
        <v/>
      </c>
      <c r="M42" s="12"/>
      <c r="N42" s="34" t="str">
        <f aca="false">IF(M42="","",$E42*M42)</f>
        <v/>
      </c>
      <c r="Q42" s="33" t="s">
        <v>197</v>
      </c>
    </row>
    <row r="43" customFormat="false" ht="25.5" hidden="false" customHeight="true" outlineLevel="0" collapsed="false">
      <c r="A43" s="29" t="s">
        <v>198</v>
      </c>
      <c r="B43" s="30" t="s">
        <v>182</v>
      </c>
      <c r="C43" s="30" t="s">
        <v>199</v>
      </c>
      <c r="D43" s="31" t="s">
        <v>32</v>
      </c>
      <c r="E43" s="34" t="n">
        <f aca="false" t="array" ref="E43:E43">IFERROR(INDEX(Config!$C$7:$C$10,MATCH(D43,Config!$B$7:$B$10,0)),0)</f>
        <v>5</v>
      </c>
      <c r="F43" s="34"/>
      <c r="G43" s="12"/>
      <c r="H43" s="34" t="str">
        <f aca="false">IF(G43="","",$E43*G43)</f>
        <v/>
      </c>
      <c r="I43" s="12"/>
      <c r="J43" s="34" t="str">
        <f aca="false">IF(I43="","",$E43*I43)</f>
        <v/>
      </c>
      <c r="K43" s="12"/>
      <c r="L43" s="34" t="str">
        <f aca="false">IF(K43="","",$E43*K43)</f>
        <v/>
      </c>
      <c r="M43" s="12"/>
      <c r="N43" s="34" t="str">
        <f aca="false">IF(M43="","",$E43*M43)</f>
        <v/>
      </c>
      <c r="Q43" s="33" t="s">
        <v>200</v>
      </c>
    </row>
    <row r="44" customFormat="false" ht="14.25" hidden="false" customHeight="true" outlineLevel="0" collapsed="false">
      <c r="A44" s="29" t="s">
        <v>201</v>
      </c>
      <c r="B44" s="30" t="s">
        <v>202</v>
      </c>
      <c r="C44" s="30" t="s">
        <v>203</v>
      </c>
      <c r="D44" s="31" t="s">
        <v>32</v>
      </c>
      <c r="E44" s="34" t="n">
        <f aca="false" t="array" ref="E44:E44">IFERROR(INDEX(Config!$C$7:$C$10,MATCH(D44,Config!$B$7:$B$10,0)),0)</f>
        <v>5</v>
      </c>
      <c r="F44" s="34"/>
      <c r="G44" s="12"/>
      <c r="H44" s="34" t="str">
        <f aca="false">IF(G44="","",$E44*G44)</f>
        <v/>
      </c>
      <c r="I44" s="12"/>
      <c r="J44" s="34" t="str">
        <f aca="false">IF(I44="","",$E44*I44)</f>
        <v/>
      </c>
      <c r="K44" s="12"/>
      <c r="L44" s="34" t="str">
        <f aca="false">IF(K44="","",$E44*K44)</f>
        <v/>
      </c>
      <c r="M44" s="12"/>
      <c r="N44" s="34" t="str">
        <f aca="false">IF(M44="","",$E44*M44)</f>
        <v/>
      </c>
      <c r="Q44" s="33" t="s">
        <v>204</v>
      </c>
    </row>
    <row r="45" customFormat="false" ht="14.25" hidden="false" customHeight="true" outlineLevel="0" collapsed="false">
      <c r="A45" s="29" t="s">
        <v>205</v>
      </c>
      <c r="B45" s="30" t="s">
        <v>202</v>
      </c>
      <c r="C45" s="30" t="s">
        <v>206</v>
      </c>
      <c r="D45" s="31" t="s">
        <v>38</v>
      </c>
      <c r="E45" s="34" t="n">
        <f aca="false" t="array" ref="E45:E45">IFERROR(INDEX(Config!$C$7:$C$10,MATCH(D45,Config!$B$7:$B$10,0)),0)</f>
        <v>0</v>
      </c>
      <c r="F45" s="34"/>
      <c r="G45" s="12"/>
      <c r="H45" s="34" t="str">
        <f aca="false">IF(G45="","",$E45*G45)</f>
        <v/>
      </c>
      <c r="I45" s="12"/>
      <c r="J45" s="34" t="str">
        <f aca="false">IF(I45="","",$E45*I45)</f>
        <v/>
      </c>
      <c r="K45" s="12"/>
      <c r="L45" s="34" t="str">
        <f aca="false">IF(K45="","",$E45*K45)</f>
        <v/>
      </c>
      <c r="M45" s="12"/>
      <c r="N45" s="34" t="str">
        <f aca="false">IF(M45="","",$E45*M45)</f>
        <v/>
      </c>
      <c r="Q45" s="33" t="s">
        <v>207</v>
      </c>
    </row>
    <row r="46" customFormat="false" ht="14.25" hidden="false" customHeight="true" outlineLevel="0" collapsed="false">
      <c r="A46" s="29" t="s">
        <v>208</v>
      </c>
      <c r="B46" s="30" t="s">
        <v>202</v>
      </c>
      <c r="C46" s="30" t="s">
        <v>209</v>
      </c>
      <c r="D46" s="31" t="s">
        <v>38</v>
      </c>
      <c r="E46" s="34" t="n">
        <f aca="false" t="array" ref="E46:E46">IFERROR(INDEX(Config!$C$7:$C$10,MATCH(D46,Config!$B$7:$B$10,0)),0)</f>
        <v>0</v>
      </c>
      <c r="F46" s="34"/>
      <c r="G46" s="12"/>
      <c r="H46" s="34" t="str">
        <f aca="false">IF(G46="","",$E46*G46)</f>
        <v/>
      </c>
      <c r="I46" s="12"/>
      <c r="J46" s="34" t="str">
        <f aca="false">IF(I46="","",$E46*I46)</f>
        <v/>
      </c>
      <c r="K46" s="12"/>
      <c r="L46" s="34" t="str">
        <f aca="false">IF(K46="","",$E46*K46)</f>
        <v/>
      </c>
      <c r="M46" s="12"/>
      <c r="N46" s="34" t="str">
        <f aca="false">IF(M46="","",$E46*M46)</f>
        <v/>
      </c>
      <c r="Q46" s="33" t="s">
        <v>207</v>
      </c>
    </row>
    <row r="47" customFormat="false" ht="14.25" hidden="false" customHeight="true" outlineLevel="0" collapsed="false">
      <c r="A47" s="41" t="s">
        <v>210</v>
      </c>
      <c r="B47" s="42" t="s">
        <v>202</v>
      </c>
      <c r="C47" s="42" t="s">
        <v>211</v>
      </c>
      <c r="D47" s="31" t="s">
        <v>32</v>
      </c>
      <c r="E47" s="34" t="n">
        <f aca="false" t="array" ref="E47:E47">IFERROR(INDEX(Config!$C$7:$C$10,MATCH(D47,Config!$B$7:$B$10,0)),0)</f>
        <v>5</v>
      </c>
      <c r="F47" s="34"/>
      <c r="G47" s="12"/>
      <c r="H47" s="34" t="str">
        <f aca="false">IF(G47="","",$E47*G47)</f>
        <v/>
      </c>
      <c r="I47" s="12"/>
      <c r="J47" s="34" t="str">
        <f aca="false">IF(I47="","",$E47*I47)</f>
        <v/>
      </c>
      <c r="K47" s="12"/>
      <c r="L47" s="34" t="str">
        <f aca="false">IF(K47="","",$E47*K47)</f>
        <v/>
      </c>
      <c r="M47" s="12"/>
      <c r="N47" s="34" t="str">
        <f aca="false">IF(M47="","",$E47*M47)</f>
        <v/>
      </c>
      <c r="O47" s="38" t="s">
        <v>212</v>
      </c>
      <c r="P47" s="38" t="s">
        <v>213</v>
      </c>
      <c r="Q47" s="33" t="s">
        <v>140</v>
      </c>
    </row>
    <row r="48" customFormat="false" ht="14.25" hidden="false" customHeight="true" outlineLevel="0" collapsed="false">
      <c r="A48" s="29" t="s">
        <v>214</v>
      </c>
      <c r="B48" s="30" t="s">
        <v>202</v>
      </c>
      <c r="C48" s="30" t="s">
        <v>215</v>
      </c>
      <c r="D48" s="31" t="s">
        <v>36</v>
      </c>
      <c r="E48" s="34" t="n">
        <f aca="false" t="array" ref="E48:E48">IFERROR(INDEX(Config!$C$7:$C$10,MATCH(D48,Config!$B$7:$B$10,0)),0)</f>
        <v>1</v>
      </c>
      <c r="F48" s="34"/>
      <c r="G48" s="12"/>
      <c r="H48" s="34" t="str">
        <f aca="false">IF(G48="","",$E48*G48)</f>
        <v/>
      </c>
      <c r="I48" s="12"/>
      <c r="J48" s="34" t="str">
        <f aca="false">IF(I48="","",$E48*I48)</f>
        <v/>
      </c>
      <c r="K48" s="12"/>
      <c r="L48" s="34" t="str">
        <f aca="false">IF(K48="","",$E48*K48)</f>
        <v/>
      </c>
      <c r="M48" s="12"/>
      <c r="N48" s="34" t="str">
        <f aca="false">IF(M48="","",$E48*M48)</f>
        <v/>
      </c>
      <c r="O48" s="38"/>
      <c r="Q48" s="33" t="s">
        <v>216</v>
      </c>
    </row>
    <row r="49" customFormat="false" ht="25.5" hidden="false" customHeight="true" outlineLevel="0" collapsed="false">
      <c r="A49" s="41" t="s">
        <v>217</v>
      </c>
      <c r="B49" s="42" t="s">
        <v>202</v>
      </c>
      <c r="C49" s="42" t="s">
        <v>218</v>
      </c>
      <c r="D49" s="31" t="s">
        <v>32</v>
      </c>
      <c r="E49" s="34" t="n">
        <f aca="false" t="array" ref="E49:E49">IFERROR(INDEX(Config!$C$7:$C$10,MATCH(D49,Config!$B$7:$B$10,0)),0)</f>
        <v>5</v>
      </c>
      <c r="F49" s="34"/>
      <c r="G49" s="12"/>
      <c r="H49" s="34" t="str">
        <f aca="false">IF(G49="","",$E49*G49)</f>
        <v/>
      </c>
      <c r="I49" s="12"/>
      <c r="J49" s="34" t="str">
        <f aca="false">IF(I49="","",$E49*I49)</f>
        <v/>
      </c>
      <c r="K49" s="12"/>
      <c r="L49" s="34" t="str">
        <f aca="false">IF(K49="","",$E49*K49)</f>
        <v/>
      </c>
      <c r="M49" s="12"/>
      <c r="N49" s="34" t="str">
        <f aca="false">IF(M49="","",$E49*M49)</f>
        <v/>
      </c>
      <c r="O49" s="38" t="s">
        <v>212</v>
      </c>
      <c r="P49" s="38" t="s">
        <v>219</v>
      </c>
      <c r="Q49" s="33" t="s">
        <v>140</v>
      </c>
    </row>
    <row r="50" customFormat="false" ht="25.5" hidden="false" customHeight="true" outlineLevel="0" collapsed="false">
      <c r="A50" s="29" t="s">
        <v>220</v>
      </c>
      <c r="B50" s="30" t="s">
        <v>202</v>
      </c>
      <c r="C50" s="30" t="s">
        <v>221</v>
      </c>
      <c r="D50" s="31" t="s">
        <v>34</v>
      </c>
      <c r="E50" s="34" t="n">
        <f aca="false" t="array" ref="E50:E50">IFERROR(INDEX(Config!$C$7:$C$10,MATCH(D50,Config!$B$7:$B$10,0)),0)</f>
        <v>3</v>
      </c>
      <c r="F50" s="34"/>
      <c r="G50" s="12" t="n">
        <v>4</v>
      </c>
      <c r="H50" s="34" t="n">
        <f aca="false">IF(G50="","",$E50*G50)</f>
        <v>12</v>
      </c>
      <c r="I50" s="12"/>
      <c r="J50" s="34" t="str">
        <f aca="false">IF(I50="","",$E50*I50)</f>
        <v/>
      </c>
      <c r="K50" s="12"/>
      <c r="L50" s="34" t="str">
        <f aca="false">IF(K50="","",$E50*K50)</f>
        <v/>
      </c>
      <c r="M50" s="12"/>
      <c r="N50" s="34" t="str">
        <f aca="false">IF(M50="","",$E50*M50)</f>
        <v/>
      </c>
      <c r="Q50" s="33" t="s">
        <v>222</v>
      </c>
    </row>
    <row r="51" customFormat="false" ht="25.5" hidden="false" customHeight="true" outlineLevel="0" collapsed="false">
      <c r="A51" s="29" t="s">
        <v>223</v>
      </c>
      <c r="B51" s="30" t="s">
        <v>202</v>
      </c>
      <c r="C51" s="30" t="s">
        <v>224</v>
      </c>
      <c r="D51" s="31" t="s">
        <v>34</v>
      </c>
      <c r="E51" s="34" t="n">
        <f aca="false" t="array" ref="E51:E51">IFERROR(INDEX(Config!$C$7:$C$10,MATCH(D51,Config!$B$7:$B$10,0)),0)</f>
        <v>3</v>
      </c>
      <c r="F51" s="34"/>
      <c r="G51" s="12" t="n">
        <v>4</v>
      </c>
      <c r="H51" s="34" t="n">
        <f aca="false">IF(G51="","",$E51*G51)</f>
        <v>12</v>
      </c>
      <c r="I51" s="12"/>
      <c r="J51" s="34" t="str">
        <f aca="false">IF(I51="","",$E51*I51)</f>
        <v/>
      </c>
      <c r="K51" s="12"/>
      <c r="L51" s="34" t="str">
        <f aca="false">IF(K51="","",$E51*K51)</f>
        <v/>
      </c>
      <c r="M51" s="12"/>
      <c r="N51" s="34" t="str">
        <f aca="false">IF(M51="","",$E51*M51)</f>
        <v/>
      </c>
      <c r="Q51" s="33" t="s">
        <v>225</v>
      </c>
    </row>
    <row r="52" customFormat="false" ht="40.5" hidden="false" customHeight="true" outlineLevel="0" collapsed="false">
      <c r="A52" s="39" t="s">
        <v>226</v>
      </c>
      <c r="B52" s="40" t="s">
        <v>227</v>
      </c>
      <c r="C52" s="40" t="s">
        <v>228</v>
      </c>
      <c r="D52" s="31" t="s">
        <v>32</v>
      </c>
      <c r="E52" s="34" t="n">
        <f aca="false" t="array" ref="E52:E52">IFERROR(INDEX(Config!$C$7:$C$10,MATCH(D52,Config!$B$7:$B$10,0)),0)</f>
        <v>5</v>
      </c>
      <c r="F52" s="34"/>
      <c r="G52" s="12"/>
      <c r="H52" s="34" t="str">
        <f aca="false">IF(G52="","",$E52*G52)</f>
        <v/>
      </c>
      <c r="I52" s="12"/>
      <c r="J52" s="34" t="str">
        <f aca="false">IF(I52="","",$E52*I52)</f>
        <v/>
      </c>
      <c r="K52" s="12"/>
      <c r="L52" s="34" t="str">
        <f aca="false">IF(K52="","",$E52*K52)</f>
        <v/>
      </c>
      <c r="M52" s="12"/>
      <c r="N52" s="34" t="str">
        <f aca="false">IF(M52="","",$E52*M52)</f>
        <v/>
      </c>
      <c r="O52" s="38" t="s">
        <v>97</v>
      </c>
      <c r="P52" s="38" t="s">
        <v>229</v>
      </c>
      <c r="Q52" s="33" t="s">
        <v>230</v>
      </c>
    </row>
    <row r="53" customFormat="false" ht="25.5" hidden="false" customHeight="true" outlineLevel="0" collapsed="false">
      <c r="A53" s="29" t="s">
        <v>231</v>
      </c>
      <c r="B53" s="30" t="s">
        <v>227</v>
      </c>
      <c r="C53" s="30" t="s">
        <v>232</v>
      </c>
      <c r="D53" s="31" t="s">
        <v>32</v>
      </c>
      <c r="E53" s="34" t="n">
        <f aca="false" t="array" ref="E53:E53">IFERROR(INDEX(Config!$C$7:$C$10,MATCH(D53,Config!$B$7:$B$10,0)),0)</f>
        <v>5</v>
      </c>
      <c r="F53" s="34"/>
      <c r="G53" s="12" t="n">
        <v>4</v>
      </c>
      <c r="H53" s="34" t="n">
        <f aca="false">IF(G53="","",$E53*G53)</f>
        <v>20</v>
      </c>
      <c r="I53" s="12"/>
      <c r="J53" s="34" t="str">
        <f aca="false">IF(I53="","",$E53*I53)</f>
        <v/>
      </c>
      <c r="K53" s="12"/>
      <c r="L53" s="34" t="str">
        <f aca="false">IF(K53="","",$E53*K53)</f>
        <v/>
      </c>
      <c r="M53" s="12"/>
      <c r="N53" s="34" t="str">
        <f aca="false">IF(M53="","",$E53*M53)</f>
        <v/>
      </c>
      <c r="O53" s="38"/>
      <c r="P53" s="38"/>
      <c r="Q53" s="33" t="s">
        <v>233</v>
      </c>
    </row>
    <row r="54" customFormat="false" ht="25.5" hidden="false" customHeight="true" outlineLevel="0" collapsed="false">
      <c r="A54" s="35" t="s">
        <v>234</v>
      </c>
      <c r="B54" s="36" t="s">
        <v>227</v>
      </c>
      <c r="C54" s="36" t="s">
        <v>235</v>
      </c>
      <c r="D54" s="31" t="s">
        <v>32</v>
      </c>
      <c r="E54" s="34" t="n">
        <f aca="false" t="array" ref="E54:E54">IFERROR(INDEX(Config!$C$7:$C$10,MATCH(D54,Config!$B$7:$B$10,0)),0)</f>
        <v>5</v>
      </c>
      <c r="F54" s="34"/>
      <c r="G54" s="12" t="n">
        <v>1</v>
      </c>
      <c r="H54" s="34" t="n">
        <f aca="false">IF(G54="","",$E54*G54)</f>
        <v>5</v>
      </c>
      <c r="I54" s="12"/>
      <c r="J54" s="34" t="str">
        <f aca="false">IF(I54="","",$E54*I54)</f>
        <v/>
      </c>
      <c r="K54" s="12"/>
      <c r="L54" s="34" t="str">
        <f aca="false">IF(K54="","",$E54*K54)</f>
        <v/>
      </c>
      <c r="M54" s="12"/>
      <c r="N54" s="34" t="str">
        <f aca="false">IF(M54="","",$E54*M54)</f>
        <v/>
      </c>
      <c r="O54" s="38" t="s">
        <v>97</v>
      </c>
      <c r="P54" s="38" t="s">
        <v>236</v>
      </c>
      <c r="Q54" s="33" t="s">
        <v>237</v>
      </c>
    </row>
    <row r="55" customFormat="false" ht="25.5" hidden="false" customHeight="true" outlineLevel="0" collapsed="false">
      <c r="A55" s="29" t="s">
        <v>238</v>
      </c>
      <c r="B55" s="30" t="s">
        <v>239</v>
      </c>
      <c r="C55" s="30" t="s">
        <v>240</v>
      </c>
      <c r="D55" s="31" t="s">
        <v>36</v>
      </c>
      <c r="E55" s="34" t="n">
        <f aca="false" t="array" ref="E55:E55">IFERROR(INDEX(Config!$C$7:$C$10,MATCH(D55,Config!$B$7:$B$10,0)),0)</f>
        <v>1</v>
      </c>
      <c r="F55" s="34"/>
      <c r="G55" s="12" t="n">
        <v>3</v>
      </c>
      <c r="H55" s="34" t="n">
        <f aca="false">IF(G55="","",$E55*G55)</f>
        <v>3</v>
      </c>
      <c r="I55" s="12"/>
      <c r="J55" s="34" t="str">
        <f aca="false">IF(I55="","",$E55*I55)</f>
        <v/>
      </c>
      <c r="K55" s="12"/>
      <c r="L55" s="34" t="str">
        <f aca="false">IF(K55="","",$E55*K55)</f>
        <v/>
      </c>
      <c r="M55" s="12"/>
      <c r="N55" s="34" t="str">
        <f aca="false">IF(M55="","",$E55*M55)</f>
        <v/>
      </c>
      <c r="Q55" s="33" t="s">
        <v>241</v>
      </c>
    </row>
    <row r="56" customFormat="false" ht="25.5" hidden="false" customHeight="true" outlineLevel="0" collapsed="false">
      <c r="A56" s="29" t="s">
        <v>242</v>
      </c>
      <c r="B56" s="30" t="s">
        <v>239</v>
      </c>
      <c r="C56" s="30" t="s">
        <v>243</v>
      </c>
      <c r="D56" s="31" t="s">
        <v>32</v>
      </c>
      <c r="E56" s="34" t="n">
        <f aca="false" t="array" ref="E56:E56">IFERROR(INDEX(Config!$C$7:$C$10,MATCH(D56,Config!$B$7:$B$10,0)),0)</f>
        <v>5</v>
      </c>
      <c r="F56" s="34"/>
      <c r="G56" s="12"/>
      <c r="H56" s="34" t="str">
        <f aca="false">IF(G56="","",$E56*G56)</f>
        <v/>
      </c>
      <c r="I56" s="12"/>
      <c r="J56" s="34" t="str">
        <f aca="false">IF(I56="","",$E56*I56)</f>
        <v/>
      </c>
      <c r="K56" s="12"/>
      <c r="L56" s="34" t="str">
        <f aca="false">IF(K56="","",$E56*K56)</f>
        <v/>
      </c>
      <c r="M56" s="12"/>
      <c r="N56" s="34" t="str">
        <f aca="false">IF(M56="","",$E56*M56)</f>
        <v/>
      </c>
      <c r="Q56" s="33" t="s">
        <v>244</v>
      </c>
    </row>
    <row r="57" customFormat="false" ht="25.5" hidden="false" customHeight="true" outlineLevel="0" collapsed="false">
      <c r="A57" s="29" t="s">
        <v>245</v>
      </c>
      <c r="B57" s="30" t="s">
        <v>246</v>
      </c>
      <c r="C57" s="30" t="s">
        <v>247</v>
      </c>
      <c r="D57" s="31" t="s">
        <v>32</v>
      </c>
      <c r="E57" s="34" t="n">
        <f aca="false" t="array" ref="E57:E57">IFERROR(INDEX(Config!$C$7:$C$10,MATCH(D57,Config!$B$7:$B$10,0)),0)</f>
        <v>5</v>
      </c>
      <c r="F57" s="34"/>
      <c r="G57" s="12" t="n">
        <v>3</v>
      </c>
      <c r="H57" s="34" t="n">
        <f aca="false">IF(G57="","",$E57*G57)</f>
        <v>15</v>
      </c>
      <c r="I57" s="12"/>
      <c r="J57" s="34" t="str">
        <f aca="false">IF(I57="","",$E57*I57)</f>
        <v/>
      </c>
      <c r="K57" s="12"/>
      <c r="L57" s="34" t="str">
        <f aca="false">IF(K57="","",$E57*K57)</f>
        <v/>
      </c>
      <c r="M57" s="12"/>
      <c r="N57" s="34" t="str">
        <f aca="false">IF(M57="","",$E57*M57)</f>
        <v/>
      </c>
      <c r="Q57" s="33" t="s">
        <v>248</v>
      </c>
    </row>
    <row r="58" customFormat="false" ht="25.5" hidden="false" customHeight="true" outlineLevel="0" collapsed="false">
      <c r="A58" s="29" t="s">
        <v>249</v>
      </c>
      <c r="B58" s="30" t="s">
        <v>246</v>
      </c>
      <c r="C58" s="30" t="s">
        <v>250</v>
      </c>
      <c r="D58" s="31" t="s">
        <v>32</v>
      </c>
      <c r="E58" s="34" t="n">
        <f aca="false" t="array" ref="E58:E58">IFERROR(INDEX(Config!$C$7:$C$10,MATCH(D58,Config!$B$7:$B$10,0)),0)</f>
        <v>5</v>
      </c>
      <c r="F58" s="34"/>
      <c r="G58" s="12" t="n">
        <v>3</v>
      </c>
      <c r="H58" s="34" t="n">
        <f aca="false">IF(G58="","",$E58*G58)</f>
        <v>15</v>
      </c>
      <c r="I58" s="12"/>
      <c r="J58" s="34" t="str">
        <f aca="false">IF(I58="","",$E58*I58)</f>
        <v/>
      </c>
      <c r="K58" s="12"/>
      <c r="L58" s="34" t="str">
        <f aca="false">IF(K58="","",$E58*K58)</f>
        <v/>
      </c>
      <c r="M58" s="12"/>
      <c r="N58" s="34" t="str">
        <f aca="false">IF(M58="","",$E58*M58)</f>
        <v/>
      </c>
      <c r="Q58" s="33" t="s">
        <v>251</v>
      </c>
    </row>
    <row r="59" customFormat="false" ht="25.5" hidden="false" customHeight="true" outlineLevel="0" collapsed="false">
      <c r="A59" s="29" t="s">
        <v>252</v>
      </c>
      <c r="B59" s="30" t="s">
        <v>246</v>
      </c>
      <c r="C59" s="30" t="s">
        <v>253</v>
      </c>
      <c r="D59" s="31" t="s">
        <v>32</v>
      </c>
      <c r="E59" s="34" t="n">
        <f aca="false" t="array" ref="E59:E59">IFERROR(INDEX(Config!$C$7:$C$10,MATCH(D59,Config!$B$7:$B$10,0)),0)</f>
        <v>5</v>
      </c>
      <c r="F59" s="34"/>
      <c r="G59" s="12" t="n">
        <v>2</v>
      </c>
      <c r="H59" s="34" t="n">
        <f aca="false">IF(G59="","",$E59*G59)</f>
        <v>10</v>
      </c>
      <c r="I59" s="12"/>
      <c r="J59" s="34" t="str">
        <f aca="false">IF(I59="","",$E59*I59)</f>
        <v/>
      </c>
      <c r="K59" s="12"/>
      <c r="L59" s="34" t="str">
        <f aca="false">IF(K59="","",$E59*K59)</f>
        <v/>
      </c>
      <c r="M59" s="12"/>
      <c r="N59" s="34" t="str">
        <f aca="false">IF(M59="","",$E59*M59)</f>
        <v/>
      </c>
      <c r="Q59" s="33" t="s">
        <v>254</v>
      </c>
    </row>
    <row r="60" customFormat="false" ht="25.5" hidden="false" customHeight="true" outlineLevel="0" collapsed="false">
      <c r="A60" s="35" t="s">
        <v>255</v>
      </c>
      <c r="B60" s="36" t="s">
        <v>246</v>
      </c>
      <c r="C60" s="36" t="s">
        <v>256</v>
      </c>
      <c r="D60" s="31" t="s">
        <v>32</v>
      </c>
      <c r="E60" s="34" t="n">
        <f aca="false" t="array" ref="E60:E60">IFERROR(INDEX(Config!$C$7:$C$10,MATCH(D60,Config!$B$7:$B$10,0)),0)</f>
        <v>5</v>
      </c>
      <c r="F60" s="34"/>
      <c r="G60" s="12" t="n">
        <v>3</v>
      </c>
      <c r="H60" s="34" t="n">
        <f aca="false">IF(G60="","",$E60*G60)</f>
        <v>15</v>
      </c>
      <c r="I60" s="12"/>
      <c r="J60" s="34" t="str">
        <f aca="false">IF(I60="","",$E60*I60)</f>
        <v/>
      </c>
      <c r="K60" s="12"/>
      <c r="L60" s="34" t="str">
        <f aca="false">IF(K60="","",$E60*K60)</f>
        <v/>
      </c>
      <c r="M60" s="12"/>
      <c r="N60" s="34" t="str">
        <f aca="false">IF(M60="","",$E60*M60)</f>
        <v/>
      </c>
      <c r="O60" s="38" t="s">
        <v>97</v>
      </c>
      <c r="P60" s="38" t="s">
        <v>257</v>
      </c>
      <c r="Q60" s="33" t="s">
        <v>258</v>
      </c>
    </row>
    <row r="61" customFormat="false" ht="25.5" hidden="false" customHeight="true" outlineLevel="0" collapsed="false">
      <c r="A61" s="29" t="s">
        <v>259</v>
      </c>
      <c r="B61" s="30" t="s">
        <v>246</v>
      </c>
      <c r="C61" s="30" t="s">
        <v>260</v>
      </c>
      <c r="D61" s="31" t="s">
        <v>32</v>
      </c>
      <c r="E61" s="34" t="n">
        <f aca="false" t="array" ref="E61:E61">IFERROR(INDEX(Config!$C$7:$C$10,MATCH(D61,Config!$B$7:$B$10,0)),0)</f>
        <v>5</v>
      </c>
      <c r="F61" s="34"/>
      <c r="G61" s="12" t="n">
        <v>3</v>
      </c>
      <c r="H61" s="34" t="n">
        <f aca="false">IF(G61="","",$E61*G61)</f>
        <v>15</v>
      </c>
      <c r="I61" s="12"/>
      <c r="J61" s="34" t="str">
        <f aca="false">IF(I61="","",$E61*I61)</f>
        <v/>
      </c>
      <c r="K61" s="12"/>
      <c r="L61" s="34" t="str">
        <f aca="false">IF(K61="","",$E61*K61)</f>
        <v/>
      </c>
      <c r="M61" s="12"/>
      <c r="N61" s="34" t="str">
        <f aca="false">IF(M61="","",$E61*M61)</f>
        <v/>
      </c>
      <c r="Q61" s="33" t="s">
        <v>261</v>
      </c>
    </row>
    <row r="62" customFormat="false" ht="25.5" hidden="false" customHeight="true" outlineLevel="0" collapsed="false">
      <c r="A62" s="29" t="s">
        <v>262</v>
      </c>
      <c r="B62" s="30" t="s">
        <v>263</v>
      </c>
      <c r="C62" s="30" t="s">
        <v>264</v>
      </c>
      <c r="D62" s="31" t="s">
        <v>34</v>
      </c>
      <c r="E62" s="34" t="n">
        <f aca="false" t="array" ref="E62:E62">IFERROR(INDEX(Config!$C$7:$C$10,MATCH(D62,Config!$B$7:$B$10,0)),0)</f>
        <v>3</v>
      </c>
      <c r="F62" s="34"/>
      <c r="G62" s="12" t="n">
        <v>0</v>
      </c>
      <c r="H62" s="34" t="n">
        <f aca="false">IF(G62="","",$E62*G62)</f>
        <v>0</v>
      </c>
      <c r="I62" s="12"/>
      <c r="J62" s="34" t="str">
        <f aca="false">IF(I62="","",$E62*I62)</f>
        <v/>
      </c>
      <c r="K62" s="12"/>
      <c r="L62" s="34" t="str">
        <f aca="false">IF(K62="","",$E62*K62)</f>
        <v/>
      </c>
      <c r="M62" s="12"/>
      <c r="N62" s="34" t="str">
        <f aca="false">IF(M62="","",$E62*M62)</f>
        <v/>
      </c>
      <c r="Q62" s="33" t="s">
        <v>265</v>
      </c>
    </row>
    <row r="63" customFormat="false" ht="25.5" hidden="false" customHeight="true" outlineLevel="0" collapsed="false">
      <c r="A63" s="29" t="s">
        <v>266</v>
      </c>
      <c r="B63" s="30" t="s">
        <v>263</v>
      </c>
      <c r="C63" s="30" t="s">
        <v>267</v>
      </c>
      <c r="D63" s="31" t="s">
        <v>34</v>
      </c>
      <c r="E63" s="34" t="n">
        <f aca="false" t="array" ref="E63:E63">IFERROR(INDEX(Config!$C$7:$C$10,MATCH(D63,Config!$B$7:$B$10,0)),0)</f>
        <v>3</v>
      </c>
      <c r="F63" s="34"/>
      <c r="G63" s="12" t="n">
        <v>1</v>
      </c>
      <c r="H63" s="34" t="n">
        <f aca="false">IF(G63="","",$E63*G63)</f>
        <v>3</v>
      </c>
      <c r="I63" s="12"/>
      <c r="J63" s="34" t="str">
        <f aca="false">IF(I63="","",$E63*I63)</f>
        <v/>
      </c>
      <c r="K63" s="12"/>
      <c r="L63" s="34" t="str">
        <f aca="false">IF(K63="","",$E63*K63)</f>
        <v/>
      </c>
      <c r="M63" s="12"/>
      <c r="N63" s="34" t="str">
        <f aca="false">IF(M63="","",$E63*M63)</f>
        <v/>
      </c>
      <c r="Q63" s="33" t="s">
        <v>268</v>
      </c>
    </row>
    <row r="64" customFormat="false" ht="25.5" hidden="false" customHeight="true" outlineLevel="0" collapsed="false">
      <c r="A64" s="35" t="s">
        <v>269</v>
      </c>
      <c r="B64" s="36" t="s">
        <v>263</v>
      </c>
      <c r="C64" s="36" t="s">
        <v>270</v>
      </c>
      <c r="D64" s="31" t="s">
        <v>32</v>
      </c>
      <c r="E64" s="34" t="n">
        <f aca="false" t="array" ref="E64:E64">IFERROR(INDEX(Config!$C$7:$C$10,MATCH(D64,Config!$B$7:$B$10,0)),0)</f>
        <v>5</v>
      </c>
      <c r="F64" s="34"/>
      <c r="G64" s="12" t="n">
        <v>1</v>
      </c>
      <c r="H64" s="34" t="n">
        <f aca="false">IF(G64="","",$E64*G64)</f>
        <v>5</v>
      </c>
      <c r="I64" s="12"/>
      <c r="J64" s="34" t="str">
        <f aca="false">IF(I64="","",$E64*I64)</f>
        <v/>
      </c>
      <c r="K64" s="12"/>
      <c r="L64" s="34" t="str">
        <f aca="false">IF(K64="","",$E64*K64)</f>
        <v/>
      </c>
      <c r="M64" s="12"/>
      <c r="N64" s="34" t="str">
        <f aca="false">IF(M64="","",$E64*M64)</f>
        <v/>
      </c>
      <c r="O64" s="38" t="s">
        <v>97</v>
      </c>
      <c r="P64" s="38" t="s">
        <v>271</v>
      </c>
      <c r="Q64" s="33" t="s">
        <v>272</v>
      </c>
    </row>
    <row r="65" customFormat="false" ht="25.5" hidden="false" customHeight="true" outlineLevel="0" collapsed="false">
      <c r="A65" s="35" t="s">
        <v>273</v>
      </c>
      <c r="B65" s="36" t="s">
        <v>263</v>
      </c>
      <c r="C65" s="36" t="s">
        <v>274</v>
      </c>
      <c r="D65" s="31" t="s">
        <v>32</v>
      </c>
      <c r="E65" s="34" t="n">
        <f aca="false" t="array" ref="E65:E65">IFERROR(INDEX(Config!$C$7:$C$10,MATCH(D65,Config!$B$7:$B$10,0)),0)</f>
        <v>5</v>
      </c>
      <c r="F65" s="34"/>
      <c r="G65" s="12" t="n">
        <v>3</v>
      </c>
      <c r="H65" s="34" t="n">
        <f aca="false">IF(G65="","",$E65*G65)</f>
        <v>15</v>
      </c>
      <c r="I65" s="12"/>
      <c r="J65" s="34" t="str">
        <f aca="false">IF(I65="","",$E65*I65)</f>
        <v/>
      </c>
      <c r="K65" s="12"/>
      <c r="L65" s="34" t="str">
        <f aca="false">IF(K65="","",$E65*K65)</f>
        <v/>
      </c>
      <c r="M65" s="12"/>
      <c r="N65" s="34" t="str">
        <f aca="false">IF(M65="","",$E65*M65)</f>
        <v/>
      </c>
      <c r="O65" s="38" t="s">
        <v>97</v>
      </c>
      <c r="P65" s="38" t="s">
        <v>275</v>
      </c>
      <c r="Q65" s="33" t="s">
        <v>276</v>
      </c>
    </row>
    <row r="66" customFormat="false" ht="25.5" hidden="false" customHeight="true" outlineLevel="0" collapsed="false">
      <c r="A66" s="35" t="s">
        <v>277</v>
      </c>
      <c r="B66" s="36" t="s">
        <v>263</v>
      </c>
      <c r="C66" s="36" t="s">
        <v>278</v>
      </c>
      <c r="D66" s="31" t="s">
        <v>32</v>
      </c>
      <c r="E66" s="34" t="n">
        <f aca="false" t="array" ref="E66:E66">IFERROR(INDEX(Config!$C$7:$C$10,MATCH(D66,Config!$B$7:$B$10,0)),0)</f>
        <v>5</v>
      </c>
      <c r="F66" s="34"/>
      <c r="G66" s="12" t="n">
        <v>3</v>
      </c>
      <c r="H66" s="34" t="n">
        <f aca="false">IF(G66="","",$E66*G66)</f>
        <v>15</v>
      </c>
      <c r="I66" s="12"/>
      <c r="J66" s="34" t="str">
        <f aca="false">IF(I66="","",$E66*I66)</f>
        <v/>
      </c>
      <c r="K66" s="12"/>
      <c r="L66" s="34" t="str">
        <f aca="false">IF(K66="","",$E66*K66)</f>
        <v/>
      </c>
      <c r="M66" s="12"/>
      <c r="N66" s="34" t="str">
        <f aca="false">IF(M66="","",$E66*M66)</f>
        <v/>
      </c>
      <c r="O66" s="38" t="s">
        <v>97</v>
      </c>
      <c r="P66" s="38" t="s">
        <v>279</v>
      </c>
      <c r="Q66" s="33" t="s">
        <v>280</v>
      </c>
    </row>
    <row r="67" customFormat="false" ht="25.5" hidden="false" customHeight="true" outlineLevel="0" collapsed="false">
      <c r="A67" s="35" t="s">
        <v>281</v>
      </c>
      <c r="B67" s="36" t="s">
        <v>263</v>
      </c>
      <c r="C67" s="36" t="s">
        <v>282</v>
      </c>
      <c r="D67" s="31" t="s">
        <v>32</v>
      </c>
      <c r="E67" s="34" t="n">
        <f aca="false" t="array" ref="E67:E67">IFERROR(INDEX(Config!$C$7:$C$10,MATCH(D67,Config!$B$7:$B$10,0)),0)</f>
        <v>5</v>
      </c>
      <c r="F67" s="34"/>
      <c r="G67" s="12" t="n">
        <v>3</v>
      </c>
      <c r="H67" s="34" t="n">
        <f aca="false">IF(G67="","",$E67*G67)</f>
        <v>15</v>
      </c>
      <c r="I67" s="12"/>
      <c r="J67" s="34" t="str">
        <f aca="false">IF(I67="","",$E67*I67)</f>
        <v/>
      </c>
      <c r="K67" s="12"/>
      <c r="L67" s="34" t="str">
        <f aca="false">IF(K67="","",$E67*K67)</f>
        <v/>
      </c>
      <c r="M67" s="12"/>
      <c r="N67" s="34" t="str">
        <f aca="false">IF(M67="","",$E67*M67)</f>
        <v/>
      </c>
      <c r="O67" s="38" t="s">
        <v>97</v>
      </c>
      <c r="P67" s="38" t="s">
        <v>283</v>
      </c>
      <c r="Q67" s="33" t="s">
        <v>284</v>
      </c>
    </row>
    <row r="68" customFormat="false" ht="25.5" hidden="false" customHeight="true" outlineLevel="0" collapsed="false">
      <c r="A68" s="35" t="s">
        <v>285</v>
      </c>
      <c r="B68" s="36" t="s">
        <v>263</v>
      </c>
      <c r="C68" s="36" t="s">
        <v>286</v>
      </c>
      <c r="D68" s="31" t="s">
        <v>32</v>
      </c>
      <c r="E68" s="34" t="n">
        <f aca="false" t="array" ref="E68:E68">IFERROR(INDEX(Config!$C$7:$C$10,MATCH(D68,Config!$B$7:$B$10,0)),0)</f>
        <v>5</v>
      </c>
      <c r="F68" s="34"/>
      <c r="G68" s="12" t="n">
        <v>3</v>
      </c>
      <c r="H68" s="34" t="n">
        <f aca="false">IF(G68="","",$E68*G68)</f>
        <v>15</v>
      </c>
      <c r="I68" s="12"/>
      <c r="J68" s="34" t="str">
        <f aca="false">IF(I68="","",$E68*I68)</f>
        <v/>
      </c>
      <c r="K68" s="12"/>
      <c r="L68" s="34" t="str">
        <f aca="false">IF(K68="","",$E68*K68)</f>
        <v/>
      </c>
      <c r="M68" s="12"/>
      <c r="N68" s="34" t="str">
        <f aca="false">IF(M68="","",$E68*M68)</f>
        <v/>
      </c>
      <c r="O68" s="38" t="s">
        <v>97</v>
      </c>
      <c r="P68" s="38" t="s">
        <v>287</v>
      </c>
      <c r="Q68" s="33" t="s">
        <v>288</v>
      </c>
    </row>
    <row r="69" customFormat="false" ht="25.5" hidden="false" customHeight="true" outlineLevel="0" collapsed="false">
      <c r="A69" s="35" t="s">
        <v>289</v>
      </c>
      <c r="B69" s="36" t="s">
        <v>263</v>
      </c>
      <c r="C69" s="36" t="s">
        <v>290</v>
      </c>
      <c r="D69" s="31" t="s">
        <v>32</v>
      </c>
      <c r="E69" s="34" t="n">
        <f aca="false" t="array" ref="E69:E69">IFERROR(INDEX(Config!$C$7:$C$10,MATCH(D69,Config!$B$7:$B$10,0)),0)</f>
        <v>5</v>
      </c>
      <c r="F69" s="34"/>
      <c r="G69" s="12" t="n">
        <v>4</v>
      </c>
      <c r="H69" s="34" t="n">
        <f aca="false">IF(G69="","",$E69*G69)</f>
        <v>20</v>
      </c>
      <c r="I69" s="12"/>
      <c r="J69" s="34" t="str">
        <f aca="false">IF(I69="","",$E69*I69)</f>
        <v/>
      </c>
      <c r="K69" s="12"/>
      <c r="L69" s="34" t="str">
        <f aca="false">IF(K69="","",$E69*K69)</f>
        <v/>
      </c>
      <c r="M69" s="12"/>
      <c r="N69" s="34" t="str">
        <f aca="false">IF(M69="","",$E69*M69)</f>
        <v/>
      </c>
      <c r="O69" s="38" t="s">
        <v>97</v>
      </c>
      <c r="P69" s="38" t="s">
        <v>291</v>
      </c>
      <c r="Q69" s="33" t="s">
        <v>292</v>
      </c>
    </row>
    <row r="70" customFormat="false" ht="25.5" hidden="false" customHeight="true" outlineLevel="0" collapsed="false">
      <c r="A70" s="29" t="s">
        <v>293</v>
      </c>
      <c r="B70" s="30" t="s">
        <v>263</v>
      </c>
      <c r="C70" s="30" t="s">
        <v>294</v>
      </c>
      <c r="D70" s="31" t="s">
        <v>32</v>
      </c>
      <c r="E70" s="34" t="n">
        <f aca="false" t="array" ref="E70:E70">IFERROR(INDEX(Config!$C$7:$C$10,MATCH(D70,Config!$B$7:$B$10,0)),0)</f>
        <v>5</v>
      </c>
      <c r="F70" s="34"/>
      <c r="G70" s="12" t="n">
        <v>3</v>
      </c>
      <c r="H70" s="34" t="n">
        <f aca="false">IF(G70="","",$E70*G70)</f>
        <v>15</v>
      </c>
      <c r="I70" s="12"/>
      <c r="J70" s="34" t="str">
        <f aca="false">IF(I70="","",$E70*I70)</f>
        <v/>
      </c>
      <c r="K70" s="12"/>
      <c r="L70" s="34" t="str">
        <f aca="false">IF(K70="","",$E70*K70)</f>
        <v/>
      </c>
      <c r="M70" s="12"/>
      <c r="N70" s="34" t="str">
        <f aca="false">IF(M70="","",$E70*M70)</f>
        <v/>
      </c>
      <c r="Q70" s="33" t="s">
        <v>295</v>
      </c>
    </row>
    <row r="71" customFormat="false" ht="25.5" hidden="false" customHeight="true" outlineLevel="0" collapsed="false">
      <c r="A71" s="29" t="s">
        <v>296</v>
      </c>
      <c r="B71" s="30" t="s">
        <v>263</v>
      </c>
      <c r="C71" s="30" t="s">
        <v>297</v>
      </c>
      <c r="D71" s="31" t="s">
        <v>34</v>
      </c>
      <c r="E71" s="34" t="n">
        <f aca="false" t="array" ref="E71:E71">IFERROR(INDEX(Config!$C$7:$C$10,MATCH(D71,Config!$B$7:$B$10,0)),0)</f>
        <v>3</v>
      </c>
      <c r="F71" s="34"/>
      <c r="G71" s="12" t="n">
        <v>4</v>
      </c>
      <c r="H71" s="34" t="n">
        <f aca="false">IF(G71="","",$E71*G71)</f>
        <v>12</v>
      </c>
      <c r="I71" s="12"/>
      <c r="J71" s="34" t="str">
        <f aca="false">IF(I71="","",$E71*I71)</f>
        <v/>
      </c>
      <c r="K71" s="12"/>
      <c r="L71" s="34" t="str">
        <f aca="false">IF(K71="","",$E71*K71)</f>
        <v/>
      </c>
      <c r="M71" s="12"/>
      <c r="N71" s="34" t="str">
        <f aca="false">IF(M71="","",$E71*M71)</f>
        <v/>
      </c>
      <c r="Q71" s="33" t="s">
        <v>298</v>
      </c>
    </row>
    <row r="72" customFormat="false" ht="25.5" hidden="false" customHeight="true" outlineLevel="0" collapsed="false">
      <c r="A72" s="35" t="s">
        <v>299</v>
      </c>
      <c r="B72" s="36" t="s">
        <v>300</v>
      </c>
      <c r="C72" s="36" t="s">
        <v>301</v>
      </c>
      <c r="D72" s="31" t="s">
        <v>32</v>
      </c>
      <c r="E72" s="34" t="n">
        <f aca="false" t="array" ref="E72:E72">IFERROR(INDEX(Config!$C$7:$C$10,MATCH(D72,Config!$B$7:$B$10,0)),0)</f>
        <v>5</v>
      </c>
      <c r="F72" s="34"/>
      <c r="G72" s="12" t="n">
        <v>3</v>
      </c>
      <c r="H72" s="34" t="n">
        <f aca="false">IF(G72="","",$E72*G72)</f>
        <v>15</v>
      </c>
      <c r="I72" s="12"/>
      <c r="J72" s="34" t="str">
        <f aca="false">IF(I72="","",$E72*I72)</f>
        <v/>
      </c>
      <c r="K72" s="12"/>
      <c r="L72" s="34" t="str">
        <f aca="false">IF(K72="","",$E72*K72)</f>
        <v/>
      </c>
      <c r="M72" s="12"/>
      <c r="N72" s="34" t="str">
        <f aca="false">IF(M72="","",$E72*M72)</f>
        <v/>
      </c>
      <c r="O72" s="38" t="s">
        <v>97</v>
      </c>
      <c r="P72" s="38" t="s">
        <v>302</v>
      </c>
      <c r="Q72" s="33" t="s">
        <v>303</v>
      </c>
    </row>
    <row r="73" customFormat="false" ht="25.5" hidden="false" customHeight="true" outlineLevel="0" collapsed="false">
      <c r="A73" s="29" t="s">
        <v>304</v>
      </c>
      <c r="B73" s="30" t="s">
        <v>300</v>
      </c>
      <c r="C73" s="30" t="s">
        <v>305</v>
      </c>
      <c r="D73" s="31" t="s">
        <v>32</v>
      </c>
      <c r="E73" s="34" t="n">
        <f aca="false" t="array" ref="E73:E73">IFERROR(INDEX(Config!$C$7:$C$10,MATCH(D73,Config!$B$7:$B$10,0)),0)</f>
        <v>5</v>
      </c>
      <c r="F73" s="34"/>
      <c r="G73" s="12" t="n">
        <v>2</v>
      </c>
      <c r="H73" s="34" t="n">
        <f aca="false">IF(G73="","",$E73*G73)</f>
        <v>10</v>
      </c>
      <c r="I73" s="12"/>
      <c r="J73" s="34" t="str">
        <f aca="false">IF(I73="","",$E73*I73)</f>
        <v/>
      </c>
      <c r="K73" s="12"/>
      <c r="L73" s="34" t="str">
        <f aca="false">IF(K73="","",$E73*K73)</f>
        <v/>
      </c>
      <c r="M73" s="12"/>
      <c r="N73" s="34" t="str">
        <f aca="false">IF(M73="","",$E73*M73)</f>
        <v/>
      </c>
      <c r="Q73" s="33" t="s">
        <v>306</v>
      </c>
    </row>
    <row r="74" customFormat="false" ht="25.5" hidden="false" customHeight="true" outlineLevel="0" collapsed="false">
      <c r="A74" s="41" t="s">
        <v>307</v>
      </c>
      <c r="B74" s="42" t="s">
        <v>300</v>
      </c>
      <c r="C74" s="42" t="s">
        <v>308</v>
      </c>
      <c r="D74" s="31" t="s">
        <v>32</v>
      </c>
      <c r="E74" s="34" t="n">
        <f aca="false" t="array" ref="E74:E74">IFERROR(INDEX(Config!$C$7:$C$10,MATCH(D74,Config!$B$7:$B$10,0)),0)</f>
        <v>5</v>
      </c>
      <c r="F74" s="34"/>
      <c r="G74" s="12"/>
      <c r="H74" s="34" t="str">
        <f aca="false">IF(G74="","",$E74*G74)</f>
        <v/>
      </c>
      <c r="I74" s="12"/>
      <c r="J74" s="34" t="str">
        <f aca="false">IF(I74="","",$E74*I74)</f>
        <v/>
      </c>
      <c r="K74" s="12"/>
      <c r="L74" s="34" t="str">
        <f aca="false">IF(K74="","",$E74*K74)</f>
        <v/>
      </c>
      <c r="M74" s="12"/>
      <c r="N74" s="34" t="str">
        <f aca="false">IF(M74="","",$E74*M74)</f>
        <v/>
      </c>
      <c r="O74" s="38" t="s">
        <v>212</v>
      </c>
      <c r="P74" s="38" t="s">
        <v>309</v>
      </c>
      <c r="Q74" s="33" t="s">
        <v>140</v>
      </c>
    </row>
    <row r="75" customFormat="false" ht="25.5" hidden="false" customHeight="true" outlineLevel="0" collapsed="false">
      <c r="A75" s="29" t="s">
        <v>310</v>
      </c>
      <c r="B75" s="30" t="s">
        <v>300</v>
      </c>
      <c r="C75" s="30" t="s">
        <v>311</v>
      </c>
      <c r="D75" s="31" t="s">
        <v>34</v>
      </c>
      <c r="E75" s="34" t="n">
        <f aca="false" t="array" ref="E75:E75">IFERROR(INDEX(Config!$C$7:$C$10,MATCH(D75,Config!$B$7:$B$10,0)),0)</f>
        <v>3</v>
      </c>
      <c r="F75" s="34"/>
      <c r="G75" s="12" t="n">
        <v>2</v>
      </c>
      <c r="H75" s="34" t="n">
        <f aca="false">IF(G75="","",$E75*G75)</f>
        <v>6</v>
      </c>
      <c r="I75" s="12"/>
      <c r="J75" s="34" t="str">
        <f aca="false">IF(I75="","",$E75*I75)</f>
        <v/>
      </c>
      <c r="K75" s="12"/>
      <c r="L75" s="34" t="str">
        <f aca="false">IF(K75="","",$E75*K75)</f>
        <v/>
      </c>
      <c r="M75" s="12"/>
      <c r="N75" s="34" t="str">
        <f aca="false">IF(M75="","",$E75*M75)</f>
        <v/>
      </c>
      <c r="Q75" s="33" t="s">
        <v>312</v>
      </c>
    </row>
    <row r="76" customFormat="false" ht="25.5" hidden="false" customHeight="true" outlineLevel="0" collapsed="false">
      <c r="A76" s="29" t="s">
        <v>313</v>
      </c>
      <c r="B76" s="30" t="s">
        <v>314</v>
      </c>
      <c r="C76" s="30" t="s">
        <v>315</v>
      </c>
      <c r="D76" s="31" t="s">
        <v>32</v>
      </c>
      <c r="E76" s="34" t="n">
        <f aca="false" t="array" ref="E76:E76">IFERROR(INDEX(Config!$C$7:$C$10,MATCH(D76,Config!$B$7:$B$10,0)),0)</f>
        <v>5</v>
      </c>
      <c r="F76" s="34"/>
      <c r="G76" s="12" t="n">
        <v>3</v>
      </c>
      <c r="H76" s="34" t="n">
        <f aca="false">IF(G76="","",$E76*G76)</f>
        <v>15</v>
      </c>
      <c r="I76" s="12"/>
      <c r="J76" s="34" t="str">
        <f aca="false">IF(I76="","",$E76*I76)</f>
        <v/>
      </c>
      <c r="K76" s="12"/>
      <c r="L76" s="34" t="str">
        <f aca="false">IF(K76="","",$E76*K76)</f>
        <v/>
      </c>
      <c r="M76" s="12"/>
      <c r="N76" s="34" t="str">
        <f aca="false">IF(M76="","",$E76*M76)</f>
        <v/>
      </c>
      <c r="Q76" s="33" t="s">
        <v>316</v>
      </c>
    </row>
    <row r="77" customFormat="false" ht="25.5" hidden="false" customHeight="true" outlineLevel="0" collapsed="false">
      <c r="A77" s="29" t="s">
        <v>317</v>
      </c>
      <c r="B77" s="30" t="s">
        <v>314</v>
      </c>
      <c r="C77" s="30" t="s">
        <v>318</v>
      </c>
      <c r="D77" s="31" t="s">
        <v>32</v>
      </c>
      <c r="E77" s="34" t="n">
        <f aca="false" t="array" ref="E77:E77">IFERROR(INDEX(Config!$C$7:$C$10,MATCH(D77,Config!$B$7:$B$10,0)),0)</f>
        <v>5</v>
      </c>
      <c r="F77" s="34"/>
      <c r="G77" s="12" t="n">
        <v>3</v>
      </c>
      <c r="H77" s="34" t="n">
        <f aca="false">IF(G77="","",$E77*G77)</f>
        <v>15</v>
      </c>
      <c r="I77" s="12"/>
      <c r="J77" s="34" t="str">
        <f aca="false">IF(I77="","",$E77*I77)</f>
        <v/>
      </c>
      <c r="K77" s="12"/>
      <c r="L77" s="34" t="str">
        <f aca="false">IF(K77="","",$E77*K77)</f>
        <v/>
      </c>
      <c r="M77" s="12"/>
      <c r="N77" s="34" t="str">
        <f aca="false">IF(M77="","",$E77*M77)</f>
        <v/>
      </c>
      <c r="Q77" s="33" t="s">
        <v>319</v>
      </c>
    </row>
    <row r="78" customFormat="false" ht="25.5" hidden="false" customHeight="true" outlineLevel="0" collapsed="false">
      <c r="A78" s="29" t="s">
        <v>320</v>
      </c>
      <c r="B78" s="30" t="s">
        <v>314</v>
      </c>
      <c r="C78" s="30" t="s">
        <v>321</v>
      </c>
      <c r="D78" s="31" t="s">
        <v>32</v>
      </c>
      <c r="E78" s="34" t="n">
        <f aca="false" t="array" ref="E78:E78">IFERROR(INDEX(Config!$C$7:$C$10,MATCH(D78,Config!$B$7:$B$10,0)),0)</f>
        <v>5</v>
      </c>
      <c r="F78" s="34"/>
      <c r="G78" s="12" t="n">
        <v>3</v>
      </c>
      <c r="H78" s="34" t="n">
        <f aca="false">IF(G78="","",$E78*G78)</f>
        <v>15</v>
      </c>
      <c r="I78" s="12"/>
      <c r="J78" s="34" t="str">
        <f aca="false">IF(I78="","",$E78*I78)</f>
        <v/>
      </c>
      <c r="K78" s="12"/>
      <c r="L78" s="34" t="str">
        <f aca="false">IF(K78="","",$E78*K78)</f>
        <v/>
      </c>
      <c r="M78" s="12"/>
      <c r="N78" s="34" t="str">
        <f aca="false">IF(M78="","",$E78*M78)</f>
        <v/>
      </c>
      <c r="Q78" s="33" t="s">
        <v>322</v>
      </c>
    </row>
    <row r="79" customFormat="false" ht="25.5" hidden="false" customHeight="true" outlineLevel="0" collapsed="false">
      <c r="A79" s="29" t="s">
        <v>323</v>
      </c>
      <c r="B79" s="30" t="s">
        <v>314</v>
      </c>
      <c r="C79" s="30" t="s">
        <v>324</v>
      </c>
      <c r="D79" s="31" t="s">
        <v>32</v>
      </c>
      <c r="E79" s="34" t="n">
        <f aca="false" t="array" ref="E79:E79">IFERROR(INDEX(Config!$C$7:$C$10,MATCH(D79,Config!$B$7:$B$10,0)),0)</f>
        <v>5</v>
      </c>
      <c r="F79" s="34"/>
      <c r="G79" s="12" t="n">
        <v>2</v>
      </c>
      <c r="H79" s="34" t="n">
        <f aca="false">IF(G79="","",$E79*G79)</f>
        <v>10</v>
      </c>
      <c r="I79" s="12"/>
      <c r="J79" s="34" t="str">
        <f aca="false">IF(I79="","",$E79*I79)</f>
        <v/>
      </c>
      <c r="K79" s="12"/>
      <c r="L79" s="34" t="str">
        <f aca="false">IF(K79="","",$E79*K79)</f>
        <v/>
      </c>
      <c r="M79" s="12"/>
      <c r="N79" s="34" t="str">
        <f aca="false">IF(M79="","",$E79*M79)</f>
        <v/>
      </c>
      <c r="Q79" s="33" t="s">
        <v>325</v>
      </c>
    </row>
    <row r="80" customFormat="false" ht="25.5" hidden="false" customHeight="true" outlineLevel="0" collapsed="false">
      <c r="A80" s="29" t="s">
        <v>326</v>
      </c>
      <c r="B80" s="30" t="s">
        <v>314</v>
      </c>
      <c r="C80" s="30" t="s">
        <v>327</v>
      </c>
      <c r="D80" s="31" t="s">
        <v>32</v>
      </c>
      <c r="E80" s="34" t="n">
        <f aca="false" t="array" ref="E80:E80">IFERROR(INDEX(Config!$C$7:$C$10,MATCH(D80,Config!$B$7:$B$10,0)),0)</f>
        <v>5</v>
      </c>
      <c r="F80" s="34"/>
      <c r="G80" s="12" t="n">
        <v>2</v>
      </c>
      <c r="H80" s="34" t="n">
        <f aca="false">IF(G80="","",$E80*G80)</f>
        <v>10</v>
      </c>
      <c r="I80" s="12"/>
      <c r="J80" s="34" t="str">
        <f aca="false">IF(I80="","",$E80*I80)</f>
        <v/>
      </c>
      <c r="K80" s="12"/>
      <c r="L80" s="34" t="str">
        <f aca="false">IF(K80="","",$E80*K80)</f>
        <v/>
      </c>
      <c r="M80" s="12"/>
      <c r="N80" s="34" t="str">
        <f aca="false">IF(M80="","",$E80*M80)</f>
        <v/>
      </c>
      <c r="Q80" s="33" t="s">
        <v>328</v>
      </c>
    </row>
    <row r="81" customFormat="false" ht="25.5" hidden="false" customHeight="true" outlineLevel="0" collapsed="false">
      <c r="A81" s="29" t="s">
        <v>329</v>
      </c>
      <c r="B81" s="30" t="s">
        <v>314</v>
      </c>
      <c r="C81" s="30" t="s">
        <v>330</v>
      </c>
      <c r="D81" s="31" t="s">
        <v>34</v>
      </c>
      <c r="E81" s="34" t="n">
        <f aca="false" t="array" ref="E81:E81">IFERROR(INDEX(Config!$C$7:$C$10,MATCH(D81,Config!$B$7:$B$10,0)),0)</f>
        <v>3</v>
      </c>
      <c r="F81" s="34"/>
      <c r="G81" s="12" t="n">
        <v>2</v>
      </c>
      <c r="H81" s="34" t="n">
        <f aca="false">IF(G81="","",$E81*G81)</f>
        <v>6</v>
      </c>
      <c r="I81" s="12"/>
      <c r="J81" s="34" t="str">
        <f aca="false">IF(I81="","",$E81*I81)</f>
        <v/>
      </c>
      <c r="K81" s="12"/>
      <c r="L81" s="34" t="str">
        <f aca="false">IF(K81="","",$E81*K81)</f>
        <v/>
      </c>
      <c r="M81" s="12"/>
      <c r="N81" s="34" t="str">
        <f aca="false">IF(M81="","",$E81*M81)</f>
        <v/>
      </c>
      <c r="Q81" s="33" t="s">
        <v>331</v>
      </c>
    </row>
    <row r="82" customFormat="false" ht="25.5" hidden="false" customHeight="true" outlineLevel="0" collapsed="false">
      <c r="A82" s="29" t="s">
        <v>332</v>
      </c>
      <c r="B82" s="30" t="s">
        <v>333</v>
      </c>
      <c r="C82" s="30" t="s">
        <v>334</v>
      </c>
      <c r="D82" s="31" t="s">
        <v>32</v>
      </c>
      <c r="E82" s="34" t="n">
        <f aca="false" t="array" ref="E82:E82">IFERROR(INDEX(Config!$C$7:$C$10,MATCH(D82,Config!$B$7:$B$10,0)),0)</f>
        <v>5</v>
      </c>
      <c r="F82" s="34"/>
      <c r="G82" s="12" t="n">
        <v>2</v>
      </c>
      <c r="H82" s="34" t="n">
        <f aca="false">IF(G82="","",$E82*G82)</f>
        <v>10</v>
      </c>
      <c r="I82" s="12"/>
      <c r="J82" s="34" t="str">
        <f aca="false">IF(I82="","",$E82*I82)</f>
        <v/>
      </c>
      <c r="K82" s="12"/>
      <c r="L82" s="34" t="str">
        <f aca="false">IF(K82="","",$E82*K82)</f>
        <v/>
      </c>
      <c r="M82" s="12"/>
      <c r="N82" s="34" t="str">
        <f aca="false">IF(M82="","",$E82*M82)</f>
        <v/>
      </c>
      <c r="Q82" s="33" t="s">
        <v>335</v>
      </c>
    </row>
    <row r="83" customFormat="false" ht="25.5" hidden="false" customHeight="true" outlineLevel="0" collapsed="false">
      <c r="A83" s="29" t="s">
        <v>336</v>
      </c>
      <c r="B83" s="30" t="s">
        <v>333</v>
      </c>
      <c r="C83" s="30" t="s">
        <v>337</v>
      </c>
      <c r="D83" s="31" t="s">
        <v>32</v>
      </c>
      <c r="E83" s="34" t="n">
        <f aca="false" t="array" ref="E83:E83">IFERROR(INDEX(Config!$C$7:$C$10,MATCH(D83,Config!$B$7:$B$10,0)),0)</f>
        <v>5</v>
      </c>
      <c r="F83" s="34"/>
      <c r="G83" s="12" t="n">
        <v>3</v>
      </c>
      <c r="H83" s="34" t="n">
        <f aca="false">IF(G83="","",$E83*G83)</f>
        <v>15</v>
      </c>
      <c r="I83" s="12"/>
      <c r="J83" s="34" t="str">
        <f aca="false">IF(I83="","",$E83*I83)</f>
        <v/>
      </c>
      <c r="K83" s="12"/>
      <c r="L83" s="34" t="str">
        <f aca="false">IF(K83="","",$E83*K83)</f>
        <v/>
      </c>
      <c r="M83" s="12"/>
      <c r="N83" s="34" t="str">
        <f aca="false">IF(M83="","",$E83*M83)</f>
        <v/>
      </c>
      <c r="Q83" s="33" t="s">
        <v>338</v>
      </c>
    </row>
    <row r="84" customFormat="false" ht="25.5" hidden="false" customHeight="true" outlineLevel="0" collapsed="false">
      <c r="A84" s="29" t="s">
        <v>339</v>
      </c>
      <c r="B84" s="30" t="s">
        <v>333</v>
      </c>
      <c r="C84" s="30" t="s">
        <v>340</v>
      </c>
      <c r="D84" s="31" t="s">
        <v>32</v>
      </c>
      <c r="E84" s="34" t="n">
        <f aca="false" t="array" ref="E84:E84">IFERROR(INDEX(Config!$C$7:$C$10,MATCH(D84,Config!$B$7:$B$10,0)),0)</f>
        <v>5</v>
      </c>
      <c r="F84" s="34"/>
      <c r="G84" s="12" t="n">
        <v>4</v>
      </c>
      <c r="H84" s="34" t="n">
        <f aca="false">IF(G84="","",$E84*G84)</f>
        <v>20</v>
      </c>
      <c r="I84" s="12"/>
      <c r="J84" s="34" t="str">
        <f aca="false">IF(I84="","",$E84*I84)</f>
        <v/>
      </c>
      <c r="K84" s="12"/>
      <c r="L84" s="34" t="str">
        <f aca="false">IF(K84="","",$E84*K84)</f>
        <v/>
      </c>
      <c r="M84" s="12"/>
      <c r="N84" s="34" t="str">
        <f aca="false">IF(M84="","",$E84*M84)</f>
        <v/>
      </c>
      <c r="Q84" s="33" t="s">
        <v>341</v>
      </c>
    </row>
    <row r="85" customFormat="false" ht="25.5" hidden="false" customHeight="true" outlineLevel="0" collapsed="false">
      <c r="A85" s="35" t="s">
        <v>342</v>
      </c>
      <c r="B85" s="36" t="s">
        <v>333</v>
      </c>
      <c r="C85" s="36" t="s">
        <v>343</v>
      </c>
      <c r="D85" s="31" t="s">
        <v>32</v>
      </c>
      <c r="E85" s="34" t="n">
        <f aca="false" t="array" ref="E85:E85">IFERROR(INDEX(Config!$C$7:$C$10,MATCH(D85,Config!$B$7:$B$10,0)),0)</f>
        <v>5</v>
      </c>
      <c r="F85" s="34"/>
      <c r="G85" s="12" t="n">
        <v>4</v>
      </c>
      <c r="H85" s="34" t="n">
        <f aca="false">IF(G85="","",$E85*G85)</f>
        <v>20</v>
      </c>
      <c r="I85" s="12"/>
      <c r="J85" s="34" t="str">
        <f aca="false">IF(I85="","",$E85*I85)</f>
        <v/>
      </c>
      <c r="K85" s="12"/>
      <c r="L85" s="34" t="str">
        <f aca="false">IF(K85="","",$E85*K85)</f>
        <v/>
      </c>
      <c r="M85" s="12"/>
      <c r="N85" s="34" t="str">
        <f aca="false">IF(M85="","",$E85*M85)</f>
        <v/>
      </c>
      <c r="O85" s="38" t="s">
        <v>97</v>
      </c>
      <c r="P85" s="38" t="s">
        <v>344</v>
      </c>
      <c r="Q85" s="33" t="s">
        <v>345</v>
      </c>
    </row>
    <row r="86" customFormat="false" ht="25.5" hidden="false" customHeight="true" outlineLevel="0" collapsed="false">
      <c r="A86" s="29" t="s">
        <v>346</v>
      </c>
      <c r="B86" s="30" t="s">
        <v>333</v>
      </c>
      <c r="C86" s="30" t="s">
        <v>347</v>
      </c>
      <c r="D86" s="31" t="s">
        <v>32</v>
      </c>
      <c r="E86" s="34" t="n">
        <f aca="false" t="array" ref="E86:E86">IFERROR(INDEX(Config!$C$7:$C$10,MATCH(D86,Config!$B$7:$B$10,0)),0)</f>
        <v>5</v>
      </c>
      <c r="F86" s="34"/>
      <c r="G86" s="12" t="n">
        <v>2</v>
      </c>
      <c r="H86" s="34" t="n">
        <f aca="false">IF(G86="","",$E86*G86)</f>
        <v>10</v>
      </c>
      <c r="I86" s="12"/>
      <c r="J86" s="34" t="str">
        <f aca="false">IF(I86="","",$E86*I86)</f>
        <v/>
      </c>
      <c r="K86" s="12"/>
      <c r="L86" s="34" t="str">
        <f aca="false">IF(K86="","",$E86*K86)</f>
        <v/>
      </c>
      <c r="M86" s="12"/>
      <c r="N86" s="34" t="str">
        <f aca="false">IF(M86="","",$E86*M86)</f>
        <v/>
      </c>
      <c r="Q86" s="33" t="s">
        <v>348</v>
      </c>
    </row>
    <row r="87" customFormat="false" ht="25.5" hidden="false" customHeight="true" outlineLevel="0" collapsed="false">
      <c r="A87" s="29" t="s">
        <v>349</v>
      </c>
      <c r="B87" s="30" t="s">
        <v>333</v>
      </c>
      <c r="C87" s="30" t="s">
        <v>350</v>
      </c>
      <c r="D87" s="31" t="s">
        <v>36</v>
      </c>
      <c r="E87" s="34" t="n">
        <f aca="false" t="array" ref="E87:E87">IFERROR(INDEX(Config!$C$7:$C$10,MATCH(D87,Config!$B$7:$B$10,0)),0)</f>
        <v>1</v>
      </c>
      <c r="F87" s="34"/>
      <c r="G87" s="12" t="n">
        <v>1</v>
      </c>
      <c r="H87" s="34" t="n">
        <f aca="false">IF(G87="","",$E87*G87)</f>
        <v>1</v>
      </c>
      <c r="I87" s="12"/>
      <c r="J87" s="34" t="str">
        <f aca="false">IF(I87="","",$E87*I87)</f>
        <v/>
      </c>
      <c r="K87" s="12"/>
      <c r="L87" s="34" t="str">
        <f aca="false">IF(K87="","",$E87*K87)</f>
        <v/>
      </c>
      <c r="M87" s="12"/>
      <c r="N87" s="34" t="str">
        <f aca="false">IF(M87="","",$E87*M87)</f>
        <v/>
      </c>
      <c r="Q87" s="33" t="s">
        <v>351</v>
      </c>
    </row>
    <row r="88" customFormat="false" ht="14.25" hidden="false" customHeight="true" outlineLevel="0" collapsed="false">
      <c r="A88" s="41" t="s">
        <v>349</v>
      </c>
      <c r="B88" s="42" t="s">
        <v>352</v>
      </c>
      <c r="C88" s="42" t="s">
        <v>353</v>
      </c>
      <c r="D88" s="31" t="s">
        <v>32</v>
      </c>
      <c r="E88" s="34" t="n">
        <f aca="false" t="array" ref="E88:E88">IFERROR(INDEX(Config!$C$7:$C$10,MATCH(D88,Config!$B$7:$B$10,0)),0)</f>
        <v>5</v>
      </c>
      <c r="F88" s="34"/>
      <c r="G88" s="12"/>
      <c r="H88" s="34"/>
      <c r="I88" s="12"/>
      <c r="J88" s="34"/>
      <c r="K88" s="12"/>
      <c r="L88" s="34"/>
      <c r="M88" s="12"/>
      <c r="N88" s="34"/>
      <c r="O88" s="38" t="s">
        <v>212</v>
      </c>
      <c r="P88" s="38" t="s">
        <v>354</v>
      </c>
      <c r="Q88" s="33" t="s">
        <v>140</v>
      </c>
    </row>
    <row r="89" customFormat="false" ht="61.5" hidden="false" customHeight="true" outlineLevel="0" collapsed="false">
      <c r="A89" s="29" t="s">
        <v>355</v>
      </c>
      <c r="B89" s="30" t="s">
        <v>356</v>
      </c>
      <c r="C89" s="30" t="s">
        <v>357</v>
      </c>
      <c r="D89" s="31" t="s">
        <v>36</v>
      </c>
      <c r="E89" s="34" t="n">
        <f aca="false" t="array" ref="E89:E89">IFERROR(INDEX(Config!$C$7:$C$10,MATCH(D89,Config!$B$7:$B$10,0)),0)</f>
        <v>1</v>
      </c>
      <c r="F89" s="34"/>
      <c r="G89" s="12" t="n">
        <v>2</v>
      </c>
      <c r="H89" s="34" t="n">
        <f aca="false">IF(G89="","",$E89*G89)</f>
        <v>2</v>
      </c>
      <c r="I89" s="12"/>
      <c r="J89" s="34" t="str">
        <f aca="false">IF(I89="","",$E89*I89)</f>
        <v/>
      </c>
      <c r="K89" s="12"/>
      <c r="L89" s="34" t="str">
        <f aca="false">IF(K89="","",$E89*K89)</f>
        <v/>
      </c>
      <c r="M89" s="12"/>
      <c r="N89" s="34" t="str">
        <f aca="false">IF(M89="","",$E89*M89)</f>
        <v/>
      </c>
      <c r="Q89" s="33" t="s">
        <v>358</v>
      </c>
    </row>
    <row r="90" customFormat="false" ht="61.5" hidden="false" customHeight="true" outlineLevel="0" collapsed="false">
      <c r="A90" s="29" t="s">
        <v>359</v>
      </c>
      <c r="B90" s="30" t="s">
        <v>356</v>
      </c>
      <c r="C90" s="30" t="s">
        <v>360</v>
      </c>
      <c r="D90" s="31" t="s">
        <v>36</v>
      </c>
      <c r="E90" s="34" t="n">
        <f aca="false" t="array" ref="E90:E90">IFERROR(INDEX(Config!$C$7:$C$10,MATCH(D90,Config!$B$7:$B$10,0)),0)</f>
        <v>1</v>
      </c>
      <c r="F90" s="34"/>
      <c r="G90" s="12"/>
      <c r="H90" s="34" t="str">
        <f aca="false">IF(G90="","",$E90*G90)</f>
        <v/>
      </c>
      <c r="I90" s="12"/>
      <c r="J90" s="34" t="str">
        <f aca="false">IF(I90="","",$E90*I90)</f>
        <v/>
      </c>
      <c r="K90" s="12"/>
      <c r="L90" s="34" t="str">
        <f aca="false">IF(K90="","",$E90*K90)</f>
        <v/>
      </c>
      <c r="M90" s="12"/>
      <c r="N90" s="34" t="str">
        <f aca="false">IF(M90="","",$E90*M90)</f>
        <v/>
      </c>
      <c r="Q90" s="33" t="s">
        <v>361</v>
      </c>
    </row>
    <row r="91" customFormat="false" ht="14.25" hidden="false" customHeight="true" outlineLevel="0" collapsed="false">
      <c r="A91" s="29"/>
      <c r="B91" s="30"/>
      <c r="C91" s="30"/>
      <c r="D91" s="31"/>
      <c r="E91" s="34"/>
      <c r="F91" s="34"/>
      <c r="G91" s="12"/>
      <c r="H91" s="34"/>
      <c r="I91" s="12"/>
      <c r="J91" s="34"/>
      <c r="K91" s="12"/>
      <c r="L91" s="34"/>
      <c r="M91" s="12"/>
      <c r="N91" s="34"/>
    </row>
    <row r="92" customFormat="false" ht="14.25" hidden="false" customHeight="true" outlineLevel="0" collapsed="false">
      <c r="A92" s="29"/>
      <c r="B92" s="30"/>
      <c r="C92" s="30"/>
      <c r="D92" s="31"/>
      <c r="E92" s="34"/>
      <c r="F92" s="34"/>
      <c r="G92" s="12"/>
      <c r="H92" s="34"/>
      <c r="I92" s="12"/>
      <c r="J92" s="34"/>
      <c r="K92" s="12"/>
      <c r="L92" s="34"/>
      <c r="M92" s="12"/>
      <c r="N92" s="34"/>
    </row>
    <row r="93" customFormat="false" ht="14.25" hidden="false" customHeight="true" outlineLevel="0" collapsed="false">
      <c r="A93" s="29"/>
      <c r="B93" s="30"/>
      <c r="C93" s="30"/>
      <c r="D93" s="31"/>
      <c r="E93" s="34"/>
      <c r="F93" s="34"/>
      <c r="G93" s="12"/>
      <c r="H93" s="34"/>
      <c r="I93" s="12"/>
      <c r="J93" s="34"/>
      <c r="K93" s="12"/>
      <c r="L93" s="34"/>
      <c r="M93" s="12"/>
      <c r="N93" s="34"/>
    </row>
    <row r="94" customFormat="false" ht="91.5" hidden="false" customHeight="true" outlineLevel="0" collapsed="false"/>
    <row r="95" customFormat="false" ht="91.5" hidden="false" customHeight="true" outlineLevel="0" collapsed="false">
      <c r="A95" s="45" t="s">
        <v>362</v>
      </c>
      <c r="B95" s="45"/>
      <c r="C95" s="45"/>
      <c r="D95" s="45"/>
      <c r="E95" s="45"/>
      <c r="G95" s="46" t="n">
        <f aca="false">SUM(H6:H93)</f>
        <v>837</v>
      </c>
      <c r="H95" s="46"/>
      <c r="I95" s="46" t="n">
        <f aca="false">SUM(J6:J93)</f>
        <v>0</v>
      </c>
      <c r="J95" s="46"/>
      <c r="K95" s="46" t="n">
        <f aca="false">SUM(L6:L93)</f>
        <v>0</v>
      </c>
      <c r="L95" s="46"/>
      <c r="M95" s="46" t="n">
        <f aca="false">SUM(N6:N93)</f>
        <v>0</v>
      </c>
      <c r="N95" s="46"/>
    </row>
    <row r="96" customFormat="false" ht="91.5" hidden="false" customHeight="true" outlineLevel="0" collapsed="false">
      <c r="A96" s="47" t="s">
        <v>363</v>
      </c>
      <c r="B96" s="47"/>
      <c r="C96" s="47"/>
      <c r="D96" s="47"/>
      <c r="E96" s="47"/>
      <c r="G96" s="48" t="n">
        <f aca="false">SUMPRODUCT($E6:$E93,--ISNUMBER(G6:G93))*5</f>
        <v>1410</v>
      </c>
      <c r="H96" s="48"/>
      <c r="I96" s="48" t="n">
        <f aca="false">SUMPRODUCT($E6:$E93,--ISNUMBER(I6:I93))*5</f>
        <v>0</v>
      </c>
      <c r="J96" s="48"/>
      <c r="K96" s="48" t="n">
        <f aca="false">SUMPRODUCT($E6:$E93,--ISNUMBER(K6:K93))*5</f>
        <v>0</v>
      </c>
      <c r="L96" s="48"/>
      <c r="M96" s="48" t="n">
        <f aca="false">SUMPRODUCT($E6:$E93,--ISNUMBER(M6:M93))*5</f>
        <v>0</v>
      </c>
      <c r="N96" s="48"/>
    </row>
    <row r="97" customFormat="false" ht="91.5" hidden="false" customHeight="true" outlineLevel="0" collapsed="false">
      <c r="A97" s="49" t="s">
        <v>364</v>
      </c>
      <c r="B97" s="49"/>
      <c r="C97" s="49"/>
      <c r="D97" s="49"/>
      <c r="E97" s="49"/>
      <c r="G97" s="50" t="n">
        <f aca="false">IFERROR(G95/G96,0)</f>
        <v>0.593617021276596</v>
      </c>
      <c r="H97" s="50"/>
      <c r="I97" s="50" t="n">
        <f aca="false">IFERROR(I95/I96,0)</f>
        <v>0</v>
      </c>
      <c r="J97" s="50"/>
      <c r="K97" s="50" t="n">
        <f aca="false">IFERROR(K95/K96,0)</f>
        <v>0</v>
      </c>
      <c r="L97" s="50"/>
      <c r="M97" s="50" t="n">
        <f aca="false">IFERROR(M95/M96,0)</f>
        <v>0</v>
      </c>
      <c r="N97" s="50"/>
    </row>
    <row r="98" customFormat="false" ht="91.5" hidden="false" customHeight="true" outlineLevel="0" collapsed="false">
      <c r="A98" s="51" t="s">
        <v>365</v>
      </c>
      <c r="B98" s="51"/>
      <c r="C98" s="51"/>
      <c r="D98" s="51"/>
      <c r="E98" s="51"/>
      <c r="G98" s="52" t="str">
        <f aca="false">IF(SUMPRODUCT(($D6:$D93="Must")*ISNUMBER(G6:G93)*(G6:G93&lt;Config!$D$13))&gt;0,"FAIL","PASS")</f>
        <v>FAIL</v>
      </c>
      <c r="H98" s="52"/>
      <c r="I98" s="52" t="str">
        <f aca="false">IF(SUMPRODUCT(($D6:$D93="Must")*ISNUMBER(I6:I93)*(I6:I93&lt;Config!$D$13))&gt;0,"FAIL","PASS")</f>
        <v>PASS</v>
      </c>
      <c r="J98" s="52"/>
      <c r="K98" s="52" t="str">
        <f aca="false">IF(SUMPRODUCT(($D6:$D93="Must")*ISNUMBER(K6:K93)*(K6:K93&lt;Config!$D$13))&gt;0,"FAIL","PASS")</f>
        <v>PASS</v>
      </c>
      <c r="L98" s="52"/>
      <c r="M98" s="52" t="str">
        <f aca="false">IF(SUMPRODUCT(($D6:$D93="Must")*ISNUMBER(M6:M93)*(M6:M93&lt;Config!$D$13))&gt;0,"FAIL","PASS")</f>
        <v>PASS</v>
      </c>
      <c r="N98" s="52"/>
    </row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5">
    <mergeCell ref="A4:E4"/>
    <mergeCell ref="G4:H4"/>
    <mergeCell ref="I4:J4"/>
    <mergeCell ref="K4:L4"/>
    <mergeCell ref="M4:N4"/>
    <mergeCell ref="A95:E95"/>
    <mergeCell ref="G95:H95"/>
    <mergeCell ref="I95:J95"/>
    <mergeCell ref="K95:L95"/>
    <mergeCell ref="M95:N95"/>
    <mergeCell ref="A96:E96"/>
    <mergeCell ref="G96:H96"/>
    <mergeCell ref="I96:J96"/>
    <mergeCell ref="K96:L96"/>
    <mergeCell ref="M96:N96"/>
    <mergeCell ref="A97:E97"/>
    <mergeCell ref="G97:H97"/>
    <mergeCell ref="I97:J97"/>
    <mergeCell ref="K97:L97"/>
    <mergeCell ref="M97:N97"/>
    <mergeCell ref="A98:E98"/>
    <mergeCell ref="G98:H98"/>
    <mergeCell ref="I98:J98"/>
    <mergeCell ref="K98:L98"/>
    <mergeCell ref="M98:N98"/>
  </mergeCells>
  <conditionalFormatting sqref="G98:N98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</conditionalFormatting>
  <dataValidations count="2">
    <dataValidation allowBlank="true" errorStyle="stop" operator="between" showDropDown="false" showErrorMessage="false" showInputMessage="false" sqref="D6:D93" type="list">
      <formula1>"Must,Should,Could,Won't"</formula1>
      <formula2>0</formula2>
    </dataValidation>
    <dataValidation allowBlank="true" errorStyle="stop" operator="between" showDropDown="false" showErrorMessage="false" showInputMessage="false" sqref="G6:G93 I6:I93 K6:K93 M6:M93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26" min="9" style="0" width="8.71"/>
  </cols>
  <sheetData>
    <row r="1" customFormat="false" ht="14.25" hidden="false" customHeight="true" outlineLevel="0" collapsed="false"/>
    <row r="2" customFormat="false" ht="27" hidden="false" customHeight="true" outlineLevel="0" collapsed="false">
      <c r="B2" s="7" t="s">
        <v>366</v>
      </c>
    </row>
    <row r="3" customFormat="false" ht="15" hidden="false" customHeight="true" outlineLevel="0" collapsed="false">
      <c r="B3" s="8" t="s">
        <v>367</v>
      </c>
    </row>
    <row r="4" customFormat="false" ht="14.25" hidden="false" customHeight="true" outlineLevel="0" collapsed="false"/>
    <row r="5" customFormat="false" ht="24" hidden="false" customHeight="true" outlineLevel="0" collapsed="false">
      <c r="B5" s="10" t="s">
        <v>368</v>
      </c>
      <c r="C5" s="10" t="s">
        <v>369</v>
      </c>
      <c r="D5" s="10" t="s">
        <v>14</v>
      </c>
      <c r="E5" s="10" t="s">
        <v>370</v>
      </c>
      <c r="F5" s="10" t="s">
        <v>371</v>
      </c>
      <c r="G5" s="10" t="s">
        <v>372</v>
      </c>
      <c r="H5" s="10" t="s">
        <v>373</v>
      </c>
    </row>
    <row r="6" customFormat="false" ht="21.75" hidden="false" customHeight="true" outlineLevel="0" collapsed="false">
      <c r="B6" s="53" t="n">
        <f aca="false">IF(E6=0,"",RANK(F6,$F$6:$F$9,0))</f>
        <v>1</v>
      </c>
      <c r="C6" s="54" t="str">
        <f aca="false">Assessment!G4</f>
        <v>ElevenLabs</v>
      </c>
      <c r="D6" s="55" t="n">
        <f aca="false">Assessment!G95</f>
        <v>837</v>
      </c>
      <c r="E6" s="56" t="n">
        <f aca="false">Assessment!G96</f>
        <v>1410</v>
      </c>
      <c r="F6" s="57" t="n">
        <f aca="false">Assessment!G97</f>
        <v>0.593617021276596</v>
      </c>
      <c r="G6" s="58" t="str">
        <f aca="false">Assessment!G98</f>
        <v>FAIL</v>
      </c>
      <c r="H6" s="55" t="str">
        <f aca="false">IF(E6=0,"Not scored",IF(G6="FAIL","Excluded - fails a Must",IF(B6=1,"Preferred","Consider")))</f>
        <v>Excluded - fails a Must</v>
      </c>
    </row>
    <row r="7" customFormat="false" ht="21.75" hidden="false" customHeight="true" outlineLevel="0" collapsed="false">
      <c r="B7" s="59" t="str">
        <f aca="false">IF(E7=0,"",RANK(F7,$F$6:$F$9,0))</f>
        <v/>
      </c>
      <c r="C7" s="60" t="str">
        <f aca="false">Assessment!I4</f>
        <v>Vendor B</v>
      </c>
      <c r="D7" s="61" t="n">
        <f aca="false">Assessment!I95</f>
        <v>0</v>
      </c>
      <c r="E7" s="62" t="n">
        <f aca="false">Assessment!I96</f>
        <v>0</v>
      </c>
      <c r="F7" s="63" t="n">
        <f aca="false">Assessment!I97</f>
        <v>0</v>
      </c>
      <c r="G7" s="64" t="str">
        <f aca="false">Assessment!I98</f>
        <v>PASS</v>
      </c>
      <c r="H7" s="61" t="str">
        <f aca="false">IF(E7=0,"Not scored",IF(G7="FAIL","Excluded - fails a Must",IF(B7=1,"Preferred","Consider")))</f>
        <v>Not scored</v>
      </c>
    </row>
    <row r="8" customFormat="false" ht="21.75" hidden="false" customHeight="true" outlineLevel="0" collapsed="false">
      <c r="B8" s="53" t="str">
        <f aca="false">IF(E8=0,"",RANK(F8,$F$6:$F$9,0))</f>
        <v/>
      </c>
      <c r="C8" s="54" t="str">
        <f aca="false">Assessment!K4</f>
        <v>Vendor C</v>
      </c>
      <c r="D8" s="55" t="n">
        <f aca="false">Assessment!K95</f>
        <v>0</v>
      </c>
      <c r="E8" s="56" t="n">
        <f aca="false">Assessment!K96</f>
        <v>0</v>
      </c>
      <c r="F8" s="57" t="n">
        <f aca="false">Assessment!K97</f>
        <v>0</v>
      </c>
      <c r="G8" s="58" t="str">
        <f aca="false">Assessment!K98</f>
        <v>PASS</v>
      </c>
      <c r="H8" s="55" t="str">
        <f aca="false">IF(E8=0,"Not scored",IF(G8="FAIL","Excluded - fails a Must",IF(B8=1,"Preferred","Consider")))</f>
        <v>Not scored</v>
      </c>
    </row>
    <row r="9" customFormat="false" ht="21.75" hidden="false" customHeight="true" outlineLevel="0" collapsed="false">
      <c r="B9" s="59" t="str">
        <f aca="false">IF(E9=0,"",RANK(F9,$F$6:$F$9,0))</f>
        <v/>
      </c>
      <c r="C9" s="60" t="str">
        <f aca="false">Assessment!M4</f>
        <v>Vendor D</v>
      </c>
      <c r="D9" s="61" t="n">
        <f aca="false">Assessment!M95</f>
        <v>0</v>
      </c>
      <c r="E9" s="62" t="n">
        <f aca="false">Assessment!M96</f>
        <v>0</v>
      </c>
      <c r="F9" s="63" t="n">
        <f aca="false">Assessment!M97</f>
        <v>0</v>
      </c>
      <c r="G9" s="64" t="str">
        <f aca="false">Assessment!M98</f>
        <v>PASS</v>
      </c>
      <c r="H9" s="61" t="str">
        <f aca="false">IF(E9=0,"Not scored",IF(G9="FAIL","Excluded - fails a Must",IF(B9=1,"Preferred","Consider")))</f>
        <v>Not scored</v>
      </c>
    </row>
    <row r="10" customFormat="false" ht="14.25" hidden="false" customHeight="true" outlineLevel="0" collapsed="false"/>
    <row r="11" customFormat="false" ht="18.75" hidden="false" customHeight="true" outlineLevel="0" collapsed="false">
      <c r="B11" s="65" t="s">
        <v>374</v>
      </c>
    </row>
    <row r="12" customFormat="false" ht="25.5" hidden="false" customHeight="true" outlineLevel="0" collapsed="false">
      <c r="B12" s="66" t="s">
        <v>375</v>
      </c>
      <c r="C12" s="66"/>
      <c r="D12" s="66"/>
      <c r="E12" s="66"/>
      <c r="F12" s="66"/>
      <c r="G12" s="66"/>
      <c r="H12" s="66"/>
    </row>
    <row r="13" customFormat="false" ht="25.5" hidden="false" customHeight="true" outlineLevel="0" collapsed="false">
      <c r="B13" s="66" t="s">
        <v>376</v>
      </c>
      <c r="C13" s="66"/>
      <c r="D13" s="66"/>
      <c r="E13" s="66"/>
      <c r="F13" s="66"/>
      <c r="G13" s="66"/>
      <c r="H13" s="66"/>
    </row>
    <row r="14" customFormat="false" ht="25.5" hidden="false" customHeight="true" outlineLevel="0" collapsed="false">
      <c r="B14" s="66" t="s">
        <v>377</v>
      </c>
      <c r="C14" s="66"/>
      <c r="D14" s="66"/>
      <c r="E14" s="66"/>
      <c r="F14" s="66"/>
      <c r="G14" s="66"/>
      <c r="H14" s="66"/>
    </row>
    <row r="15" customFormat="false" ht="25.5" hidden="false" customHeight="true" outlineLevel="0" collapsed="false">
      <c r="B15" s="66" t="s">
        <v>378</v>
      </c>
      <c r="C15" s="66"/>
      <c r="D15" s="66"/>
      <c r="E15" s="66"/>
      <c r="F15" s="66"/>
      <c r="G15" s="66"/>
      <c r="H15" s="66"/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B12:H12"/>
    <mergeCell ref="B13:H13"/>
    <mergeCell ref="B14:H14"/>
    <mergeCell ref="B15:H15"/>
  </mergeCells>
  <conditionalFormatting sqref="G6:G9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2026-09-02T07:56:59Z</dcterms:created>
  <dc:creator>openpyxl</dc:creator>
  <dc:description/>
  <dc:language>en-US</dc:language>
  <cp:lastModifiedBy/>
  <dcterms:modified xsi:type="dcterms:W3CDTF">2026-10-01T13:25:01Z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f5ed9-f941-4508-97a0-0adf4320acbd_ActionId">
    <vt:lpwstr>662c3c7c-7103-4dc4-8d79-f3c06b5e3793</vt:lpwstr>
  </property>
  <property fmtid="{D5CDD505-2E9C-101B-9397-08002B2CF9AE}" pid="3" name="MSIP_Label_446f5ed9-f941-4508-97a0-0adf4320acbd_ContentBits">
    <vt:lpwstr>0</vt:lpwstr>
  </property>
  <property fmtid="{D5CDD505-2E9C-101B-9397-08002B2CF9AE}" pid="4" name="MSIP_Label_446f5ed9-f941-4508-97a0-0adf4320acbd_Enabled">
    <vt:lpwstr>true</vt:lpwstr>
  </property>
  <property fmtid="{D5CDD505-2E9C-101B-9397-08002B2CF9AE}" pid="5" name="MSIP_Label_446f5ed9-f941-4508-97a0-0adf4320acbd_Method">
    <vt:lpwstr>Standard</vt:lpwstr>
  </property>
  <property fmtid="{D5CDD505-2E9C-101B-9397-08002B2CF9AE}" pid="6" name="MSIP_Label_446f5ed9-f941-4508-97a0-0adf4320acbd_Name">
    <vt:lpwstr>General</vt:lpwstr>
  </property>
  <property fmtid="{D5CDD505-2E9C-101B-9397-08002B2CF9AE}" pid="7" name="MSIP_Label_446f5ed9-f941-4508-97a0-0adf4320acbd_SetDate">
    <vt:lpwstr>2026-09-14T13:33:19Z</vt:lpwstr>
  </property>
  <property fmtid="{D5CDD505-2E9C-101B-9397-08002B2CF9AE}" pid="8" name="MSIP_Label_446f5ed9-f941-4508-97a0-0adf4320acbd_SiteId">
    <vt:lpwstr>29d4f8a4-6bc4-4032-b2c1-5ed82e97e377</vt:lpwstr>
  </property>
  <property fmtid="{D5CDD505-2E9C-101B-9397-08002B2CF9AE}" pid="9" name="MSIP_Label_446f5ed9-f941-4508-97a0-0adf4320acbd_Tag">
    <vt:lpwstr>10, 3, 0, 2</vt:lpwstr>
  </property>
</Properties>
</file>